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b4a46f073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a91c01cb184045"/>
    <x:sheet xmlns:r="http://schemas.openxmlformats.org/officeDocument/2006/relationships" name="Feature Crosswalk" sheetId="2" r:id="R8503debb75ae4592"/>
    <x:sheet xmlns:r="http://schemas.openxmlformats.org/officeDocument/2006/relationships" name="Page Crosswalk" sheetId="3" r:id="R9b52e455b1c9426c"/>
    <x:sheet xmlns:r="http://schemas.openxmlformats.org/officeDocument/2006/relationships" name="Content Inventory" sheetId="4" r:id="Rdf5280da264542a4"/>
    <x:sheet xmlns:r="http://schemas.openxmlformats.org/officeDocument/2006/relationships" name="Change Log" sheetId="5" r:id="Rfb5adccb39aa47e8"/>
    <x:sheet xmlns:r="http://schemas.openxmlformats.org/officeDocument/2006/relationships" name="Data Dictionary" sheetId="6" r:id="R3e1f7580f4ee4b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33646"/>
      <x:name val="Carlito"/>
    </x:font>
    <x:font>
      <x:b/>
      <x:sz val="11"/>
      <x:color rgb="FFFFFFFF"/>
      <x:name val="Carlito"/>
    </x:font>
    <x:font>
      <x:b/>
      <x:sz val="11"/>
      <x:color rgb="FF07375F"/>
      <x:name val="Carlito"/>
    </x:font>
    <x:font>
      <x:b/>
      <x:sz val="18"/>
      <x:color rgb="FF0068B7"/>
      <x:name val="Carlito"/>
    </x:font>
    <x:font>
      <x:b/>
      <x:sz val="14"/>
      <x:color rgb="FFFFFFFF"/>
      <x:name val="Carlito"/>
    </x:font>
    <x:font>
      <x:sz val="11"/>
      <x:color rgb="FF233646"/>
      <x:name val="Carlito"/>
    </x:font>
    <x:font>
      <x:sz val="9"/>
      <x:color rgb="FF23364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7375F"/>
      </x:patternFill>
    </x:fill>
    <x:fill>
      <x:patternFill patternType="solid">
        <x:fgColor rgb="FFE8F4FB"/>
      </x:patternFill>
    </x:fill>
    <x:fill>
      <x:patternFill patternType="solid">
        <x:fgColor rgb="FF0068B7"/>
      </x:patternFill>
    </x:fill>
    <x:fill>
      <x:patternFill patternType="solid">
        <x:fgColor rgb="FFFFF7D6"/>
      </x:patternFill>
    </x:fill>
    <x:fill>
      <x:patternFill patternType="solid">
        <x:fgColor rgb="FF368F2C"/>
      </x:patternFill>
    </x:fill>
    <x:fill>
      <x:patternFill patternType="solid">
        <x:fgColor rgb="FFEDF8EE"/>
      </x:patternFill>
    </x:fill>
  </x:fills>
  <x:borders count="4">
    <x:border/>
    <x:border>
      <x:bottom style="thin">
        <x:color rgb="FFD8E5EE"/>
      </x:bottom>
    </x:border>
    <x:border>
      <x:top style="thin">
        <x:color rgb="FFD8E5EE"/>
      </x:top>
      <x:bottom style="thin">
        <x:color rgb="FFD8E5EE"/>
      </x:bottom>
    </x:border>
    <x:border>
      <x:top style="thin">
        <x:color rgb="FFD8E5EE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0" fontId="8" fillId="5" borderId="3" xfId="0" applyNumberFormat="1" applyFont="1" applyFill="1" applyBorder="1" applyAlignment="1">
      <x:alignment vertical="top" wrapText="1"/>
    </x:xf>
    <x:xf numFmtId="201" fontId="8" fillId="5" borderId="1" xfId="0" applyNumberFormat="1" applyFont="1" applyFill="1" applyBorder="1" applyAlignment="1">
      <x:alignment vertical="top" wrapText="1"/>
    </x:xf>
    <x:xf numFmtId="201" fontId="8" fillId="5" borderId="2" xfId="0" applyNumberFormat="1" applyFont="1" applyFill="1" applyBorder="1" applyAlignment="1">
      <x:alignment vertical="top" wrapText="1"/>
    </x:xf>
    <x:xf numFmtId="201" fontId="8" fillId="5" borderId="3" xfId="0" applyNumberFormat="1" applyFont="1" applyFill="1" applyBorder="1" applyAlignment="1">
      <x:alignment vertical="top" wrapText="1"/>
    </x:xf>
    <x:xf numFmtId="200" fontId="8" fillId="5" borderId="1" xfId="0" applyNumberFormat="1" applyFont="1" applyFill="1" applyBorder="1" applyAlignment="1">
      <x:alignment vertical="top" wrapText="1"/>
    </x:xf>
    <x:xf numFmtId="200" fontId="8" fillId="5" borderId="2" xfId="0" applyNumberFormat="1" applyFont="1" applyFill="1" applyBorder="1" applyAlignment="1">
      <x:alignment vertical="top" wrapText="1"/>
    </x:xf>
    <x:xf numFmtId="200" fontId="8" fillId="5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1C1C"/>
      </x:font>
      <x:fill>
        <x:patternFill patternType="solid">
          <x:bgColor rgb="FFFDE2E2"/>
        </x:patternFill>
      </x:fill>
    </x:dxf>
    <x:dxf>
      <x:font>
        <x:b/>
        <x:color rgb="FF368F2C"/>
      </x:font>
      <x:fill>
        <x:patternFill patternType="solid">
          <x:bgColor rgb="FFEDF8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a74ef36cf4f39" /><Relationship Type="http://schemas.openxmlformats.org/officeDocument/2006/relationships/theme" Target="/xl/theme/theme1.xml" Id="Ree4f230477c74830" /><Relationship Type="http://schemas.openxmlformats.org/officeDocument/2006/relationships/sharedStrings" Target="/xl/sharedStrings.xml" Id="Rb7929009b2f6487a" /><Relationship Type="http://schemas.openxmlformats.org/officeDocument/2006/relationships/worksheet" Target="/xl/worksheets/sheet1.xml" Id="R67a91c01cb184045" /><Relationship Type="http://schemas.openxmlformats.org/officeDocument/2006/relationships/worksheet" Target="/xl/worksheets/sheet2.xml" Id="R8503debb75ae4592" /><Relationship Type="http://schemas.openxmlformats.org/officeDocument/2006/relationships/worksheet" Target="/xl/worksheets/sheet3.xml" Id="R9b52e455b1c9426c" /><Relationship Type="http://schemas.openxmlformats.org/officeDocument/2006/relationships/worksheet" Target="/xl/worksheets/sheet4.xml" Id="Rdf5280da264542a4" /><Relationship Type="http://schemas.openxmlformats.org/officeDocument/2006/relationships/worksheet" Target="/xl/worksheets/sheet5.xml" Id="Rfb5adccb39aa47e8" /><Relationship Type="http://schemas.openxmlformats.org/officeDocument/2006/relationships/worksheet" Target="/xl/worksheets/sheet6.xml" Id="R3e1f7580f4ee4bcc" /></Relationships>
</file>

<file path=xl/tables/table1.xml><?xml version="1.0" encoding="utf-8"?>
<x:table xmlns:x="http://schemas.openxmlformats.org/spreadsheetml/2006/main" id="1" name="FeatureCrosswalk" displayName="FeatureCrosswalk" ref="A4:R47" headerRowCount="1" totalsRowCount="0" totalsRowShown="0">
  <x:autoFilter ref="A4:R47"/>
  <x:tableColumns count="18">
    <x:tableColumn id="1" name="Stable ID"/>
    <x:tableColumn id="2" name="Area"/>
    <x:tableColumn id="3" name="Capability / Content"/>
    <x:tableColumn id="4" name="Full Version"/>
    <x:tableColumn id="5" name="Foundation Version"/>
    <x:tableColumn id="6" name="Parity Status"/>
    <x:tableColumn id="7" name="Difference / Rationale"/>
    <x:tableColumn id="8" name="Change Needed"/>
    <x:tableColumn id="9" name="Change Notes / Acceptance Criteria"/>
    <x:tableColumn id="10" name="Priority"/>
    <x:tableColumn id="11" name="Owner"/>
    <x:tableColumn id="12" name="Work Status"/>
    <x:tableColumn id="13" name="Target Version"/>
    <x:tableColumn id="14" name="First Released Version"/>
    <x:tableColumn id="15" name="Last Changed Version"/>
    <x:tableColumn id="16" name="Full Route / Source"/>
    <x:tableColumn id="17" name="Foundation Route / Source"/>
    <x:tableColumn id="18" name="Last Review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Crosswalk" displayName="PageCrosswalk" ref="A4:N24" headerRowCount="1" totalsRowCount="0" totalsRowShown="0">
  <x:autoFilter ref="A4:N24"/>
  <x:tableColumns count="14">
    <x:tableColumn id="1" name="Page ID"/>
    <x:tableColumn id="2" name="Navigation / Page"/>
    <x:tableColumn id="3" name="Full Version Route"/>
    <x:tableColumn id="4" name="Foundation Route"/>
    <x:tableColumn id="5" name="Shared Template Type"/>
    <x:tableColumn id="6" name="Full Content Scope"/>
    <x:tableColumn id="7" name="Foundation Content Scope"/>
    <x:tableColumn id="8" name="Access Difference"/>
    <x:tableColumn id="9" name="Parity Status"/>
    <x:tableColumn id="10" name="Change Needed"/>
    <x:tableColumn id="11" name="Change Notes"/>
    <x:tableColumn id="12" name="Target Version"/>
    <x:tableColumn id="13" name="Work Status"/>
    <x:tableColumn id="14" name="Last Review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entInventory" displayName="ContentInventory" ref="A4:H76" headerRowCount="1" totalsRowCount="0" totalsRowShown="0">
  <x:autoFilter ref="A4:H76"/>
  <x:tableColumns count="8">
    <x:tableColumn id="1" name="Stable ID"/>
    <x:tableColumn id="2" name="Content Type"/>
    <x:tableColumn id="3" name="Canonical Number / Code"/>
    <x:tableColumn id="4" name="Canonical Title"/>
    <x:tableColumn id="5" name="Full Version Availability"/>
    <x:tableColumn id="6" name="Foundation Availability"/>
    <x:tableColumn id="7" name="Foundation Mapping / Notes"/>
    <x:tableColumn id="8" name="Target / Release Ver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angeLog" displayName="ChangeLog" ref="A4:L7" headerRowCount="1" totalsRowCount="0" totalsRowShown="0">
  <x:autoFilter ref="A4:L7"/>
  <x:tableColumns count="12">
    <x:tableColumn id="1" name="Change ID"/>
    <x:tableColumn id="2" name="Stable Item ID"/>
    <x:tableColumn id="3" name="Requested Change"/>
    <x:tableColumn id="4" name="Reason / Source"/>
    <x:tableColumn id="5" name="Decision"/>
    <x:tableColumn id="6" name="Approved By"/>
    <x:tableColumn id="7" name="Approval Date"/>
    <x:tableColumn id="8" name="Target Version"/>
    <x:tableColumn id="9" name="Implementation Status"/>
    <x:tableColumn id="10" name="Implemented Date"/>
    <x:tableColumn id="11" name="Commit / PR"/>
    <x:tableColumn id="12" name="Validation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2e601490fc49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bf6a187bcc4e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a4b808f95e4b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ecc3d2f1bf43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AI Playbook Edition Crosswalk</x:v>
      </x:c>
    </x:row>
    <x:row r="2" ht="34" customHeight="1">
      <x:c r="A2" s="7" t="str">
        <x:v>Release-control workbook for comparing the Full Version and Foundation Edition. Yellow cells are intended for future updates.</x:v>
      </x:c>
    </x:row>
    <x:row r="4">
      <x:c r="A4" s="9" t="str">
        <x:v>Workbook field</x:v>
      </x:c>
      <x:c r="B4" s="9" t="str">
        <x:v>Value</x:v>
      </x:c>
      <x:c r="D4" s="18" t="str">
        <x:v>Crosswalk status at a glance</x:v>
      </x:c>
    </x:row>
    <x:row r="5">
      <x:c r="A5" s="12" t="str">
        <x:v>Workbook version</x:v>
      </x:c>
      <x:c r="B5" s="13" t="str">
        <x:v>1.0</x:v>
      </x:c>
      <x:c r="D5" s="21" t="str">
        <x:v>Tracked features</x:v>
      </x:c>
      <x:c r="E5" s="21" t="str">
        <x:v>Changes needed</x:v>
      </x:c>
      <x:c r="F5" s="21" t="str">
        <x:v>In progress</x:v>
      </x:c>
      <x:c r="G5" s="21" t="str">
        <x:v>Complete</x:v>
      </x:c>
      <x:c r="H5" s="21" t="str">
        <x:v>TBD target version</x:v>
      </x:c>
    </x:row>
    <x:row r="6" ht="30" customHeight="1">
      <x:c r="A6" s="12" t="str">
        <x:v>As-of date</x:v>
      </x:c>
      <x:c r="B6" s="14" t="n">
        <x:v>46255.666666666664</x:v>
      </x:c>
      <x:c r="D6" s="23" t="n">
        <x:f>COUNTA('Feature Crosswalk'!A5:A204)</x:f>
        <x:v>43</x:v>
      </x:c>
      <x:c r="E6" s="23" t="n">
        <x:f>COUNTIF('Feature Crosswalk'!H5:H204,"Yes")</x:f>
        <x:v>15</x:v>
      </x:c>
      <x:c r="F6" s="23" t="n">
        <x:f>COUNTIF('Feature Crosswalk'!L5:L204,"In Progress")</x:f>
        <x:v>19</x:v>
      </x:c>
      <x:c r="G6" s="23" t="n">
        <x:f>COUNTIF('Feature Crosswalk'!L5:L204,"Complete")</x:f>
        <x:v>11</x:v>
      </x:c>
      <x:c r="H6" s="23" t="n">
        <x:f>COUNTIF('Feature Crosswalk'!M5:M204,"TBD")</x:f>
        <x:v>0</x:v>
      </x:c>
    </x:row>
    <x:row r="7">
      <x:c r="A7" s="12" t="str">
        <x:v>Canonical product name</x:v>
      </x:c>
      <x:c r="B7" s="15" t="str">
        <x:v>AI Playbook and Toolkit — Full Version</x:v>
      </x:c>
    </x:row>
    <x:row r="8">
      <x:c r="A8" s="12" t="str">
        <x:v>Foundation product name</x:v>
      </x:c>
      <x:c r="B8" s="15" t="str">
        <x:v>AI Playbook and Toolkit — Foundation Edition</x:v>
      </x:c>
    </x:row>
    <x:row r="9">
      <x:c r="A9" s="12" t="str">
        <x:v>Canonical repository</x:v>
      </x:c>
      <x:c r="B9" s="15" t="str">
        <x:v>https://github.com/soperpa2/AI-Playbook</x:v>
      </x:c>
    </x:row>
    <x:row r="10">
      <x:c r="A10" s="12" t="str">
        <x:v>Canonical live site</x:v>
      </x:c>
      <x:c r="B10" s="15" t="str">
        <x:v>https://soperpa2.github.io/AI-Playbook/</x:v>
      </x:c>
    </x:row>
    <x:row r="12">
      <x:c r="A12" s="24" t="str">
        <x:v>How to use this workbook</x:v>
      </x:c>
    </x:row>
    <x:row r="13" ht="112" customHeight="1">
      <x:c r="A13" s="27" t="str">
        <x:v>1. Use Stable ID when requesting a change (for example, TOOL-032 or LEARN-004).
2. Record the requested difference and acceptance criteria in Feature Crosswalk or Page Crosswalk.
3. Enter a Target Version and update Work Status.
4. Add an entry to Change Log for every approved release change.
5. Keep canonical content titles and IDs synchronized; use edition fields to control availability and destinations.
6. Treat blank owner, dates, versions, and commit fields as intentional user-maintained inputs.</x:v>
      </x:c>
    </x:row>
    <x:row r="20">
      <x:c r="A20" s="9" t="str">
        <x:v>Status legend</x:v>
      </x:c>
    </x:row>
    <x:row r="21">
      <x:c r="A21" s="34" t="str">
        <x:v>Same</x:v>
      </x:c>
      <x:c r="B21" s="34" t="str">
        <x:v>Substantively identical across editions</x:v>
      </x:c>
      <x:c r="C21" s="34" t="str">
        <x:v>Adapted</x:v>
      </x:c>
      <x:c r="D21" s="34" t="str">
        <x:v>Same capability with edition-specific content, access, or links</x:v>
      </x:c>
      <x:c r="E21" s="34" t="str">
        <x:v>Limited</x:v>
      </x:c>
      <x:c r="F21" s="34" t="str">
        <x:v>Foundation intentionally exposes a smaller subset</x:v>
      </x:c>
      <x:c r="G21" s="34" t="str">
        <x:v>Not Available</x:v>
      </x:c>
      <x:c r="H21" s="34" t="str">
        <x:v>Reserved for robust editions</x:v>
      </x:c>
    </x:row>
    <x:row r="22">
      <x:c r="A22" s="35" t="str">
        <x:v>Change Needed = Yes</x:v>
      </x:c>
      <x:c r="B22" s="35" t="str">
        <x:v>Implementation is required</x:v>
      </x:c>
      <x:c r="C22" s="35" t="str">
        <x:v>Change Needed = Review</x:v>
      </x:c>
      <x:c r="D22" s="35" t="str">
        <x:v>Decision or validation is required</x:v>
      </x:c>
      <x:c r="E22" s="35" t="str">
        <x:v>TBD</x:v>
      </x:c>
      <x:c r="F22" s="35" t="str">
        <x:v>Release version has not been assigned</x:v>
      </x:c>
      <x:c r="G22" s="35" t="str">
        <x:v>Yellow cells</x:v>
      </x:c>
      <x:c r="H22" s="35" t="str">
        <x:v>Designed for ongoing user updates</x:v>
      </x:c>
    </x:row>
    <x:row r="23">
      <x:c r="A23" s="35" t="str">
        <x:v>Current Foundation baseline</x:v>
      </x:c>
      <x:c r="B23" s="35" t="str">
        <x:v>0.9</x:v>
      </x:c>
      <x:c r="C23" s="35" t="str">
        <x:v>Workbook target</x:v>
      </x:c>
      <x:c r="D23" s="35" t="str">
        <x:v>1.0</x:v>
      </x:c>
      <x:c r="E23" s="35" t="str">
        <x:v>Organization target</x:v>
      </x:c>
      <x:c r="F23" s="35" t="str">
        <x:v>Org 1.0</x:v>
      </x:c>
      <x:c r="G23" s="35" t="str">
        <x:v>Canonical content source</x:v>
      </x:c>
      <x:c r="H23" s="35" t="str">
        <x:v>Full Version / repository</x:v>
      </x:c>
    </x:row>
    <x:row r="24">
      <x:c r="A24" s="35" t="str">
        <x:v>Release language</x:v>
      </x:c>
      <x:c r="B24" s="35" t="str">
        <x:v>Use available / not included / available in other editions</x:v>
      </x:c>
      <x:c r="C24" s="35" t="str">
        <x:v>Avoid</x:v>
      </x:c>
      <x:c r="D24" s="35" t="str">
        <x:v>Under development when content is complete</x:v>
      </x:c>
      <x:c r="E24" s="35" t="str">
        <x:v>Link rule</x:v>
      </x:c>
      <x:c r="F24" s="35" t="str">
        <x:v>Keep users within their current edition</x:v>
      </x:c>
      <x:c r="G24" s="35" t="str">
        <x:v>Template rule</x:v>
      </x:c>
      <x:c r="H24" s="35" t="str">
        <x:v>Same templates in both editions</x:v>
      </x:c>
    </x:row>
    <x:row r="25">
      <x:c r="A25" s="36" t="str">
        <x:v>Data handling</x:v>
      </x:c>
      <x:c r="B25" s="36" t="str">
        <x:v>Do not store PHI or sensitive agency data in this workbook</x:v>
      </x:c>
      <x:c r="C25" s="36" t="str">
        <x:v>Versioning</x:v>
      </x:c>
      <x:c r="D25" s="36" t="str">
        <x:v>Use semantic or named release versions consistently</x:v>
      </x:c>
      <x:c r="E25" s="36" t="str">
        <x:v>Review cadence</x:v>
      </x:c>
      <x:c r="F25" s="36" t="str">
        <x:v>Update on every approved product release</x:v>
      </x:c>
      <x:c r="G25" s="36" t="str">
        <x:v>Owner</x:v>
      </x:c>
      <x:c r="H25" s="36" t="str">
        <x:v>Assign accountable person or team</x:v>
      </x:c>
    </x:row>
  </x:sheetData>
  <x:mergeCells>
    <x:mergeCell ref="A1:H1"/>
    <x:mergeCell ref="A2:H2"/>
    <x:mergeCell ref="D4:H4"/>
    <x:mergeCell ref="A12:H12"/>
    <x:mergeCell ref="A13:H18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28" hidden="0" customWidth="1"/>
    <x:col min="5" max="5" width="28" hidden="0" customWidth="1"/>
    <x:col min="6" max="6" width="15" hidden="0" customWidth="1"/>
    <x:col min="7" max="7" width="34" hidden="0" customWidth="1"/>
    <x:col min="8" max="8" width="14" hidden="0" customWidth="1"/>
    <x:col min="9" max="9" width="40" hidden="0" customWidth="1"/>
    <x:col min="10" max="10" width="12" hidden="0" customWidth="1"/>
    <x:col min="11" max="11" width="16" hidden="0" customWidth="1"/>
    <x:col min="12" max="12" width="15" hidden="0" customWidth="1"/>
    <x:col min="13" max="13" width="16" hidden="0" customWidth="1"/>
    <x:col min="14" max="14" width="18" hidden="0" customWidth="1"/>
    <x:col min="15" max="15" width="18" hidden="0" customWidth="1"/>
    <x:col min="16" max="16" width="26" hidden="0" customWidth="1"/>
    <x:col min="17" max="17" width="28" hidden="0" customWidth="1"/>
    <x:col min="18" max="18" width="14" hidden="0" customWidth="1"/>
  </x:cols>
  <x:sheetData>
    <x:row r="1" ht="30" customHeight="1">
      <x:c r="A1" s="3" t="str">
        <x:v>Full vs Foundation — Feature Crosswalk</x:v>
      </x:c>
    </x:row>
    <x:row r="2" ht="34" customHeight="1">
      <x:c r="A2" s="7" t="str">
        <x:v>Primary release-control table. Filter by Area, Parity Status, Change Needed, Work Status, or Target Version. Yellow columns are editable planning fields.</x:v>
      </x:c>
    </x:row>
    <x:row r="4" ht="34" customHeight="1">
      <x:c r="A4" s="38" t="str">
        <x:v>Stable ID</x:v>
      </x:c>
      <x:c r="B4" s="38" t="str">
        <x:v>Area</x:v>
      </x:c>
      <x:c r="C4" s="38" t="str">
        <x:v>Capability / Content</x:v>
      </x:c>
      <x:c r="D4" s="38" t="str">
        <x:v>Full Version</x:v>
      </x:c>
      <x:c r="E4" s="38" t="str">
        <x:v>Foundation Version</x:v>
      </x:c>
      <x:c r="F4" s="38" t="str">
        <x:v>Parity Status</x:v>
      </x:c>
      <x:c r="G4" s="38" t="str">
        <x:v>Difference / Rationale</x:v>
      </x:c>
      <x:c r="H4" s="38" t="str">
        <x:v>Change Needed</x:v>
      </x:c>
      <x:c r="I4" s="38" t="str">
        <x:v>Change Notes / Acceptance Criteria</x:v>
      </x:c>
      <x:c r="J4" s="38" t="str">
        <x:v>Priority</x:v>
      </x:c>
      <x:c r="K4" s="38" t="str">
        <x:v>Owner</x:v>
      </x:c>
      <x:c r="L4" s="38" t="str">
        <x:v>Work Status</x:v>
      </x:c>
      <x:c r="M4" s="38" t="str">
        <x:v>Target Version</x:v>
      </x:c>
      <x:c r="N4" s="38" t="str">
        <x:v>First Released Version</x:v>
      </x:c>
      <x:c r="O4" s="38" t="str">
        <x:v>Last Changed Version</x:v>
      </x:c>
      <x:c r="P4" s="38" t="str">
        <x:v>Full Route / Source</x:v>
      </x:c>
      <x:c r="Q4" s="38" t="str">
        <x:v>Foundation Route / Source</x:v>
      </x:c>
      <x:c r="R4" s="38" t="str">
        <x:v>Last Reviewed</x:v>
      </x:c>
    </x:row>
    <x:row r="5">
      <x:c r="A5" s="46" t="str">
        <x:v>PLAT-001</x:v>
      </x:c>
      <x:c r="B5" s="46" t="str">
        <x:v>Shared platform</x:v>
      </x:c>
      <x:c r="C5" s="46" t="str">
        <x:v>Canonical content repository</x:v>
      </x:c>
      <x:c r="D5" s="46" t="str">
        <x:v>Canonical source for plays, tools, modules, graphics, metadata, and relationships</x:v>
      </x:c>
      <x:c r="E5" s="46" t="str">
        <x:v>Consumes shared public catalog and selected shared assets</x:v>
      </x:c>
      <x:c r="F5" s="46" t="str">
        <x:v>Adapted</x:v>
      </x:c>
      <x:c r="G5" s="46" t="str">
        <x:v>Foundation exposes a controlled subset while retaining canonical IDs</x:v>
      </x:c>
      <x:c r="H5" s="49" t="str">
        <x:v>Review</x:v>
      </x:c>
      <x:c r="I5" s="49" t="str">
        <x:v>Keep all shared content keyed by stable IDs; never duplicate canonical source text without an explicit edition override</x:v>
      </x:c>
      <x:c r="J5" s="49" t="str">
        <x:v>High</x:v>
      </x:c>
      <x:c r="K5" s="49" t="str"/>
      <x:c r="L5" s="49" t="str">
        <x:v>In Progress</x:v>
      </x:c>
      <x:c r="M5" s="55" t="str">
        <x:v>1.0</x:v>
      </x:c>
      <x:c r="N5" s="55" t="str"/>
      <x:c r="O5" s="55" t="str">
        <x:v>0.9</x:v>
      </x:c>
      <x:c r="P5" s="46" t="str"/>
      <x:c r="Q5" s="46" t="str"/>
      <x:c r="R5" s="52" t="n">
        <x:v>46255.666666666664</x:v>
      </x:c>
    </x:row>
    <x:row r="6">
      <x:c r="A6" s="47" t="str">
        <x:v>PLAT-002</x:v>
      </x:c>
      <x:c r="B6" s="47" t="str">
        <x:v>Shared platform</x:v>
      </x:c>
      <x:c r="C6" s="47" t="str">
        <x:v>Shared page templates</x:v>
      </x:c>
      <x:c r="D6" s="47" t="str">
        <x:v>Shared header, hero, panels, detail, forms, tools, learning, and footer templates</x:v>
      </x:c>
      <x:c r="E6" s="47" t="str">
        <x:v>Uses the same shared template layer with edition-specific content</x:v>
      </x:c>
      <x:c r="F6" s="47" t="str">
        <x:v>Same</x:v>
      </x:c>
      <x:c r="G6" s="47" t="str">
        <x:v>Shared template system added locally; requires final regression review</x:v>
      </x:c>
      <x:c r="H6" s="50" t="str">
        <x:v>Yes</x:v>
      </x:c>
      <x:c r="I6" s="50" t="str">
        <x:v>Confirm every Full and Foundation page type uses shared templates and responsive rules</x:v>
      </x:c>
      <x:c r="J6" s="50" t="str">
        <x:v>High</x:v>
      </x:c>
      <x:c r="K6" s="50" t="str"/>
      <x:c r="L6" s="50" t="str">
        <x:v>In Progress</x:v>
      </x:c>
      <x:c r="M6" s="56" t="str">
        <x:v>1.0</x:v>
      </x:c>
      <x:c r="N6" s="56" t="str"/>
      <x:c r="O6" s="56" t="str">
        <x:v>0.9</x:v>
      </x:c>
      <x:c r="P6" s="47" t="str"/>
      <x:c r="Q6" s="47" t="str"/>
      <x:c r="R6" s="53" t="n">
        <x:v>46255.666666666664</x:v>
      </x:c>
    </x:row>
    <x:row r="7">
      <x:c r="A7" s="47" t="str">
        <x:v>PLAT-003</x:v>
      </x:c>
      <x:c r="B7" s="47" t="str">
        <x:v>Shared platform</x:v>
      </x:c>
      <x:c r="C7" s="47" t="str">
        <x:v>Shared graphics and brand assets</x:v>
      </x:c>
      <x:c r="D7" s="47" t="str">
        <x:v>Canonical graphics and logos</x:v>
      </x:c>
      <x:c r="E7" s="47" t="str">
        <x:v>Uses canonical graphics and logos</x:v>
      </x:c>
      <x:c r="F7" s="47" t="str">
        <x:v>Same</x:v>
      </x:c>
      <x:c r="G7" s="47" t="str">
        <x:v>Edition label differs; imagery should not</x:v>
      </x:c>
      <x:c r="H7" s="50" t="str">
        <x:v>No</x:v>
      </x:c>
      <x:c r="I7" s="50" t="str">
        <x:v>Replace only when canonical graphics change</x:v>
      </x:c>
      <x:c r="J7" s="50" t="str">
        <x:v>High</x:v>
      </x:c>
      <x:c r="K7" s="50" t="str"/>
      <x:c r="L7" s="50" t="str">
        <x:v>Complete</x:v>
      </x:c>
      <x:c r="M7" s="56" t="str">
        <x:v>0.9</x:v>
      </x:c>
      <x:c r="N7" s="56" t="str">
        <x:v>0.9</x:v>
      </x:c>
      <x:c r="O7" s="56" t="str">
        <x:v>0.9</x:v>
      </x:c>
      <x:c r="P7" s="47" t="str">
        <x:v>assets/</x:v>
      </x:c>
      <x:c r="Q7" s="47" t="str">
        <x:v>assets/</x:v>
      </x:c>
      <x:c r="R7" s="53" t="n">
        <x:v>46255.666666666664</x:v>
      </x:c>
    </x:row>
    <x:row r="8">
      <x:c r="A8" s="47" t="str">
        <x:v>PLAT-004</x:v>
      </x:c>
      <x:c r="B8" s="47" t="str">
        <x:v>Shared platform</x:v>
      </x:c>
      <x:c r="C8" s="47" t="str">
        <x:v>Navigation labels and order</x:v>
      </x:c>
      <x:c r="D8" s="47" t="str">
        <x:v>Full menu includes Organization Hub</x:v>
      </x:c>
      <x:c r="E8" s="47" t="str">
        <x:v>Same link names and order except Organization Hub is omitted</x:v>
      </x:c>
      <x:c r="F8" s="47" t="str">
        <x:v>Adapted</x:v>
      </x:c>
      <x:c r="G8" s="47" t="str">
        <x:v>Foundation lacks organization-level access</x:v>
      </x:c>
      <x:c r="H8" s="50" t="str">
        <x:v>Review</x:v>
      </x:c>
      <x:c r="I8" s="50" t="str">
        <x:v>Maintain one navigation definition with edition-aware destinations and entitlements</x:v>
      </x:c>
      <x:c r="J8" s="50" t="str">
        <x:v>High</x:v>
      </x:c>
      <x:c r="K8" s="50" t="str"/>
      <x:c r="L8" s="50" t="str">
        <x:v>In Progress</x:v>
      </x:c>
      <x:c r="M8" s="56" t="str">
        <x:v>1.0</x:v>
      </x:c>
      <x:c r="N8" s="56" t="str"/>
      <x:c r="O8" s="56" t="str">
        <x:v>0.9</x:v>
      </x:c>
      <x:c r="P8" s="47" t="str"/>
      <x:c r="Q8" s="47" t="str"/>
      <x:c r="R8" s="53" t="n">
        <x:v>46255.666666666664</x:v>
      </x:c>
    </x:row>
    <x:row r="9">
      <x:c r="A9" s="47" t="str">
        <x:v>PLAT-005</x:v>
      </x:c>
      <x:c r="B9" s="47" t="str">
        <x:v>Shared platform</x:v>
      </x:c>
      <x:c r="C9" s="47" t="str">
        <x:v>Responsive mobile behavior</x:v>
      </x:c>
      <x:c r="D9" s="47" t="str">
        <x:v>Responsive navigation, cards, tools, assessments, and graphics</x:v>
      </x:c>
      <x:c r="E9" s="47" t="str">
        <x:v>Same responsive template expectations</x:v>
      </x:c>
      <x:c r="F9" s="47" t="str">
        <x:v>Same</x:v>
      </x:c>
      <x:c r="G9" s="47" t="str">
        <x:v>No edition-specific layout divergence intended</x:v>
      </x:c>
      <x:c r="H9" s="50" t="str">
        <x:v>Yes</x:v>
      </x:c>
      <x:c r="I9" s="50" t="str">
        <x:v>Regression-test 390px, 768px, 1280px for every page type</x:v>
      </x:c>
      <x:c r="J9" s="50" t="str">
        <x:v>High</x:v>
      </x:c>
      <x:c r="K9" s="50" t="str"/>
      <x:c r="L9" s="50" t="str">
        <x:v>In Progress</x:v>
      </x:c>
      <x:c r="M9" s="56" t="str">
        <x:v>1.0</x:v>
      </x:c>
      <x:c r="N9" s="56" t="str"/>
      <x:c r="O9" s="56" t="str">
        <x:v>0.9</x:v>
      </x:c>
      <x:c r="P9" s="47" t="str"/>
      <x:c r="Q9" s="47" t="str"/>
      <x:c r="R9" s="53" t="n">
        <x:v>46255.666666666664</x:v>
      </x:c>
    </x:row>
    <x:row r="10">
      <x:c r="A10" s="47" t="str">
        <x:v>HOME-001</x:v>
      </x:c>
      <x:c r="B10" s="47" t="str">
        <x:v>Homepage</x:v>
      </x:c>
      <x:c r="C10" s="47" t="str">
        <x:v>Hero template</x:v>
      </x:c>
      <x:c r="D10" s="47" t="str">
        <x:v>Full positioning and Full-specific calls to action</x:v>
      </x:c>
      <x:c r="E10" s="47" t="str">
        <x:v>Same template with Foundation positioning and Foundation destinations</x:v>
      </x:c>
      <x:c r="F10" s="47" t="str">
        <x:v>Adapted</x:v>
      </x:c>
      <x:c r="G10" s="47" t="str">
        <x:v>Content and buttons differ by edition; layout should match</x:v>
      </x:c>
      <x:c r="H10" s="50" t="str">
        <x:v>Yes</x:v>
      </x:c>
      <x:c r="I10" s="50" t="str">
        <x:v>Use same dimensions, typography, spacing, journey image, and hotspots</x:v>
      </x:c>
      <x:c r="J10" s="50" t="str">
        <x:v>High</x:v>
      </x:c>
      <x:c r="K10" s="50" t="str"/>
      <x:c r="L10" s="50" t="str">
        <x:v>In Progress</x:v>
      </x:c>
      <x:c r="M10" s="56" t="str">
        <x:v>1.0</x:v>
      </x:c>
      <x:c r="N10" s="56" t="str"/>
      <x:c r="O10" s="56" t="str">
        <x:v>0.9</x:v>
      </x:c>
      <x:c r="P10" s="47" t="str">
        <x:v>#/</x:v>
      </x:c>
      <x:c r="Q10" s="47" t="str">
        <x:v>mvp/index.html</x:v>
      </x:c>
      <x:c r="R10" s="53" t="n">
        <x:v>46255.666666666664</x:v>
      </x:c>
    </x:row>
    <x:row r="11">
      <x:c r="A11" s="47" t="str">
        <x:v>HOME-002</x:v>
      </x:c>
      <x:c r="B11" s="47" t="str">
        <x:v>Homepage</x:v>
      </x:c>
      <x:c r="C11" s="47" t="str">
        <x:v>Journey graphic and clickable phases</x:v>
      </x:c>
      <x:c r="D11" s="47" t="str">
        <x:v>Canonical journey graphic; links to Full assessment and phase sections</x:v>
      </x:c>
      <x:c r="E11" s="47" t="str">
        <x:v>Same image; links remain within Foundation</x:v>
      </x:c>
      <x:c r="F11" s="47" t="str">
        <x:v>Adapted</x:v>
      </x:c>
      <x:c r="G11" s="47" t="str">
        <x:v>Destinations must never cross editions</x:v>
      </x:c>
      <x:c r="H11" s="50" t="str">
        <x:v>No</x:v>
      </x:c>
      <x:c r="I11" s="50" t="str">
        <x:v>Retain edition-aware links for assessment and four phases</x:v>
      </x:c>
      <x:c r="J11" s="50" t="str">
        <x:v>High</x:v>
      </x:c>
      <x:c r="K11" s="50" t="str"/>
      <x:c r="L11" s="50" t="str">
        <x:v>Complete</x:v>
      </x:c>
      <x:c r="M11" s="56" t="str">
        <x:v>0.9</x:v>
      </x:c>
      <x:c r="N11" s="56" t="str">
        <x:v>0.9</x:v>
      </x:c>
      <x:c r="O11" s="56" t="str">
        <x:v>0.9</x:v>
      </x:c>
      <x:c r="P11" s="47" t="str">
        <x:v>#/</x:v>
      </x:c>
      <x:c r="Q11" s="47" t="str">
        <x:v>mvp/index.html</x:v>
      </x:c>
      <x:c r="R11" s="53" t="n">
        <x:v>46255.666666666664</x:v>
      </x:c>
    </x:row>
    <x:row r="12">
      <x:c r="A12" s="47" t="str">
        <x:v>HOME-003</x:v>
      </x:c>
      <x:c r="B12" s="47" t="str">
        <x:v>Homepage</x:v>
      </x:c>
      <x:c r="C12" s="47" t="str">
        <x:v>Playbook + Toolkit overview</x:v>
      </x:c>
      <x:c r="D12" s="47" t="str">
        <x:v>Concise overview of playbook, 49 tools, and 89-module learning catalog</x:v>
      </x:c>
      <x:c r="E12" s="47" t="str">
        <x:v>Concise overview of playbook, 13 Foundation Tools, and Foundation learning</x:v>
      </x:c>
      <x:c r="F12" s="47" t="str">
        <x:v>Adapted</x:v>
      </x:c>
      <x:c r="G12" s="47" t="str">
        <x:v>Counts and availability differ</x:v>
      </x:c>
      <x:c r="H12" s="50" t="str">
        <x:v>Review</x:v>
      </x:c>
      <x:c r="I12" s="50" t="str">
        <x:v>Preserve equal emphasis on plays, tools, and learning</x:v>
      </x:c>
      <x:c r="J12" s="50" t="str">
        <x:v>High</x:v>
      </x:c>
      <x:c r="K12" s="50" t="str"/>
      <x:c r="L12" s="50" t="str">
        <x:v>In Review</x:v>
      </x:c>
      <x:c r="M12" s="56" t="str">
        <x:v>1.0</x:v>
      </x:c>
      <x:c r="N12" s="56" t="str"/>
      <x:c r="O12" s="56" t="str">
        <x:v>0.9</x:v>
      </x:c>
      <x:c r="P12" s="47" t="str"/>
      <x:c r="Q12" s="47" t="str"/>
      <x:c r="R12" s="53" t="n">
        <x:v>46255.666666666664</x:v>
      </x:c>
    </x:row>
    <x:row r="13">
      <x:c r="A13" s="47" t="str">
        <x:v>HOME-004</x:v>
      </x:c>
      <x:c r="B13" s="47" t="str">
        <x:v>Homepage</x:v>
      </x:c>
      <x:c r="C13" s="47" t="str">
        <x:v>Edition comparison</x:v>
      </x:c>
      <x:c r="D13" s="47" t="str">
        <x:v>Full site presents complete capabilities</x:v>
      </x:c>
      <x:c r="E13" s="47" t="str">
        <x:v>Foundation explains free/low-cost entry point and forthcoming robust editions</x:v>
      </x:c>
      <x:c r="F13" s="47" t="str">
        <x:v>Foundation Only</x:v>
      </x:c>
      <x:c r="G13" s="47" t="str">
        <x:v>Commercial positioning belongs primarily in Foundation</x:v>
      </x:c>
      <x:c r="H13" s="50" t="str">
        <x:v>Yes</x:v>
      </x:c>
      <x:c r="I13" s="50" t="str">
        <x:v>State what is available now, membership benefits, and future edition capabilities without implying unfinished content</x:v>
      </x:c>
      <x:c r="J13" s="50" t="str">
        <x:v>High</x:v>
      </x:c>
      <x:c r="K13" s="50" t="str"/>
      <x:c r="L13" s="50" t="str">
        <x:v>In Review</x:v>
      </x:c>
      <x:c r="M13" s="56" t="str">
        <x:v>1.0</x:v>
      </x:c>
      <x:c r="N13" s="56" t="str"/>
      <x:c r="O13" s="56" t="str">
        <x:v>0.9</x:v>
      </x:c>
      <x:c r="P13" s="47" t="str"/>
      <x:c r="Q13" s="47" t="str"/>
      <x:c r="R13" s="53" t="n">
        <x:v>46255.666666666664</x:v>
      </x:c>
    </x:row>
    <x:row r="14">
      <x:c r="A14" s="47" t="str">
        <x:v>ASSESS-001</x:v>
      </x:c>
      <x:c r="B14" s="47" t="str">
        <x:v>Assessment</x:v>
      </x:c>
      <x:c r="C14" s="47" t="str">
        <x:v>AI Readiness and Pathway Assessment</x:v>
      </x:c>
      <x:c r="D14" s="47" t="str">
        <x:v>Available; generates scored readiness results and recommended plays/tools</x:v>
      </x:c>
      <x:c r="E14" s="47" t="str">
        <x:v>Available with free account prerequisite; saves results and generates Foundation destinations</x:v>
      </x:c>
      <x:c r="F14" s="47" t="str">
        <x:v>Adapted</x:v>
      </x:c>
      <x:c r="G14" s="47" t="str">
        <x:v>Same assessment logic; recommendations and links must respect edition access</x:v>
      </x:c>
      <x:c r="H14" s="50" t="str">
        <x:v>Review</x:v>
      </x:c>
      <x:c r="I14" s="50" t="str">
        <x:v>Validate role/account gate, numeric ordering, Play 2 inclusion, and edition-local links</x:v>
      </x:c>
      <x:c r="J14" s="50" t="str">
        <x:v>High</x:v>
      </x:c>
      <x:c r="K14" s="50" t="str"/>
      <x:c r="L14" s="50" t="str">
        <x:v>In Progress</x:v>
      </x:c>
      <x:c r="M14" s="56" t="str">
        <x:v>1.0</x:v>
      </x:c>
      <x:c r="N14" s="56" t="str"/>
      <x:c r="O14" s="56" t="str">
        <x:v>0.9</x:v>
      </x:c>
      <x:c r="P14" s="47" t="str">
        <x:v>#/assess</x:v>
      </x:c>
      <x:c r="Q14" s="47" t="str">
        <x:v>mvp/assess.html</x:v>
      </x:c>
      <x:c r="R14" s="53" t="n">
        <x:v>46255.666666666664</x:v>
      </x:c>
    </x:row>
    <x:row r="15">
      <x:c r="A15" s="47" t="str">
        <x:v>ASSESS-002</x:v>
      </x:c>
      <x:c r="B15" s="47" t="str">
        <x:v>Assessment</x:v>
      </x:c>
      <x:c r="C15" s="47" t="str">
        <x:v>Custom pathway recommendations</x:v>
      </x:c>
      <x:c r="D15" s="47" t="str">
        <x:v>Recommends plays and Full tools in numeric/dependency order</x:v>
      </x:c>
      <x:c r="E15" s="47" t="str">
        <x:v>Recommends plays and available Foundation Tools</x:v>
      </x:c>
      <x:c r="F15" s="47" t="str">
        <x:v>Adapted</x:v>
      </x:c>
      <x:c r="G15" s="47" t="str">
        <x:v>Foundation uses one tool per play</x:v>
      </x:c>
      <x:c r="H15" s="50" t="str">
        <x:v>No</x:v>
      </x:c>
      <x:c r="I15" s="50" t="str">
        <x:v>Keep common scoring and ordering logic; filter results by edition</x:v>
      </x:c>
      <x:c r="J15" s="50" t="str">
        <x:v>High</x:v>
      </x:c>
      <x:c r="K15" s="50" t="str"/>
      <x:c r="L15" s="50" t="str">
        <x:v>Complete</x:v>
      </x:c>
      <x:c r="M15" s="56" t="str">
        <x:v>0.9</x:v>
      </x:c>
      <x:c r="N15" s="56" t="str"/>
      <x:c r="O15" s="56" t="str">
        <x:v>0.9</x:v>
      </x:c>
      <x:c r="P15" s="47" t="str"/>
      <x:c r="Q15" s="47" t="str"/>
      <x:c r="R15" s="53" t="n">
        <x:v>46255.666666666664</x:v>
      </x:c>
    </x:row>
    <x:row r="16">
      <x:c r="A16" s="47" t="str">
        <x:v>ASSESS-003</x:v>
      </x:c>
      <x:c r="B16" s="47" t="str">
        <x:v>Assessment</x:v>
      </x:c>
      <x:c r="C16" s="47" t="str">
        <x:v>Assessment persistence</x:v>
      </x:c>
      <x:c r="D16" s="47" t="str">
        <x:v>Saved to My Account</x:v>
      </x:c>
      <x:c r="E16" s="47" t="str">
        <x:v>Saved to Foundation My Account after free registration</x:v>
      </x:c>
      <x:c r="F16" s="47" t="str">
        <x:v>Same</x:v>
      </x:c>
      <x:c r="G16" s="47" t="str">
        <x:v>Authentication is currently browser-demo behavior</x:v>
      </x:c>
      <x:c r="H16" s="50" t="str">
        <x:v>Yes</x:v>
      </x:c>
      <x:c r="I16" s="50" t="str">
        <x:v>Connect to production identity and durable storage before launch</x:v>
      </x:c>
      <x:c r="J16" s="50" t="str">
        <x:v>High</x:v>
      </x:c>
      <x:c r="K16" s="50" t="str"/>
      <x:c r="L16" s="50" t="str">
        <x:v>Planned</x:v>
      </x:c>
      <x:c r="M16" s="56" t="str">
        <x:v>1.0</x:v>
      </x:c>
      <x:c r="N16" s="56" t="str"/>
      <x:c r="O16" s="56" t="str">
        <x:v>0.9</x:v>
      </x:c>
      <x:c r="P16" s="47" t="str"/>
      <x:c r="Q16" s="47" t="str"/>
      <x:c r="R16" s="53" t="n">
        <x:v>46255.666666666664</x:v>
      </x:c>
    </x:row>
    <x:row r="17">
      <x:c r="A17" s="47" t="str">
        <x:v>MAT-001</x:v>
      </x:c>
      <x:c r="B17" s="47" t="str">
        <x:v>Maturity model</x:v>
      </x:c>
      <x:c r="C17" s="47" t="str">
        <x:v>Standard maturity model page and graphic</x:v>
      </x:c>
      <x:c r="D17" s="47" t="str">
        <x:v>Canonical shared maturity model template</x:v>
      </x:c>
      <x:c r="E17" s="47" t="str">
        <x:v>Same template/content with Foundation-local links</x:v>
      </x:c>
      <x:c r="F17" s="47" t="str">
        <x:v>Adapted</x:v>
      </x:c>
      <x:c r="G17" s="47" t="str">
        <x:v>Tool and play destinations differ</x:v>
      </x:c>
      <x:c r="H17" s="50" t="str">
        <x:v>No</x:v>
      </x:c>
      <x:c r="I17" s="50" t="str">
        <x:v>Use shared maturity template and edition-aware link helpers</x:v>
      </x:c>
      <x:c r="J17" s="50" t="str">
        <x:v>High</x:v>
      </x:c>
      <x:c r="K17" s="50" t="str"/>
      <x:c r="L17" s="50" t="str">
        <x:v>Complete</x:v>
      </x:c>
      <x:c r="M17" s="56" t="str">
        <x:v>0.9</x:v>
      </x:c>
      <x:c r="N17" s="56" t="str">
        <x:v>0.9</x:v>
      </x:c>
      <x:c r="O17" s="56" t="str">
        <x:v>0.9</x:v>
      </x:c>
      <x:c r="P17" s="47" t="str">
        <x:v>#/maturity</x:v>
      </x:c>
      <x:c r="Q17" s="47" t="str">
        <x:v>mvp/foundation-page.html?view=maturity</x:v>
      </x:c>
      <x:c r="R17" s="53" t="n">
        <x:v>46255.666666666664</x:v>
      </x:c>
    </x:row>
    <x:row r="18">
      <x:c r="A18" s="47" t="str">
        <x:v>PLAY-001</x:v>
      </x:c>
      <x:c r="B18" s="47" t="str">
        <x:v>Plays</x:v>
      </x:c>
      <x:c r="C18" s="47" t="str">
        <x:v>13-play catalog</x:v>
      </x:c>
      <x:c r="D18" s="47" t="str">
        <x:v>All 13 plays with full implementation guidance and related content</x:v>
      </x:c>
      <x:c r="E18" s="47" t="str">
        <x:v>All 13 plays with appropriate public guidance and one Foundation Tool each</x:v>
      </x:c>
      <x:c r="F18" s="47" t="str">
        <x:v>Adapted</x:v>
      </x:c>
      <x:c r="G18" s="47" t="str">
        <x:v>Foundation limits protected facilitation methods and professional library depth</x:v>
      </x:c>
      <x:c r="H18" s="50" t="str">
        <x:v>Review</x:v>
      </x:c>
      <x:c r="I18" s="50" t="str">
        <x:v>Keep titles, sequence, phases, and core concepts aligned</x:v>
      </x:c>
      <x:c r="J18" s="50" t="str">
        <x:v>High</x:v>
      </x:c>
      <x:c r="K18" s="50" t="str"/>
      <x:c r="L18" s="50" t="str">
        <x:v>In Progress</x:v>
      </x:c>
      <x:c r="M18" s="56" t="str">
        <x:v>1.0</x:v>
      </x:c>
      <x:c r="N18" s="56" t="str"/>
      <x:c r="O18" s="56" t="str">
        <x:v>0.9</x:v>
      </x:c>
      <x:c r="P18" s="47" t="str"/>
      <x:c r="Q18" s="47" t="str"/>
      <x:c r="R18" s="53" t="n">
        <x:v>46255.666666666664</x:v>
      </x:c>
    </x:row>
    <x:row r="19">
      <x:c r="A19" s="47" t="str">
        <x:v>PLAY-002</x:v>
      </x:c>
      <x:c r="B19" s="47" t="str">
        <x:v>Plays</x:v>
      </x:c>
      <x:c r="C19" s="47" t="str">
        <x:v>Play detail template</x:v>
      </x:c>
      <x:c r="D19" s="47" t="str">
        <x:v>Full detail, guidance, relationships, outputs, tools, modules, and references</x:v>
      </x:c>
      <x:c r="E19" s="47" t="str">
        <x:v>Same page template with bounded content and local links</x:v>
      </x:c>
      <x:c r="F19" s="47" t="str">
        <x:v>Adapted</x:v>
      </x:c>
      <x:c r="G19" s="47" t="str">
        <x:v>Content depth and availability differ</x:v>
      </x:c>
      <x:c r="H19" s="50" t="str">
        <x:v>Yes</x:v>
      </x:c>
      <x:c r="I19" s="50" t="str">
        <x:v>Standardize hero, navigation, sections, related content, and metadata</x:v>
      </x:c>
      <x:c r="J19" s="50" t="str">
        <x:v>High</x:v>
      </x:c>
      <x:c r="K19" s="50" t="str"/>
      <x:c r="L19" s="50" t="str">
        <x:v>In Progress</x:v>
      </x:c>
      <x:c r="M19" s="56" t="str">
        <x:v>1.0</x:v>
      </x:c>
      <x:c r="N19" s="56" t="str"/>
      <x:c r="O19" s="56" t="str">
        <x:v>0.9</x:v>
      </x:c>
      <x:c r="P19" s="47" t="str"/>
      <x:c r="Q19" s="47" t="str"/>
      <x:c r="R19" s="53" t="n">
        <x:v>46255.666666666664</x:v>
      </x:c>
    </x:row>
    <x:row r="20">
      <x:c r="A20" s="47" t="str">
        <x:v>PLAY-003</x:v>
      </x:c>
      <x:c r="B20" s="47" t="str">
        <x:v>Plays</x:v>
      </x:c>
      <x:c r="C20" s="47" t="str">
        <x:v>Special implementation guides</x:v>
      </x:c>
      <x:c r="D20" s="47" t="str">
        <x:v>Vision, readiness, governance, stakeholder, and play guides</x:v>
      </x:c>
      <x:c r="E20" s="47" t="str">
        <x:v>Condensed play guidance within detail pages</x:v>
      </x:c>
      <x:c r="F20" s="47" t="str">
        <x:v>Limited</x:v>
      </x:c>
      <x:c r="G20" s="47" t="str">
        <x:v>Protected facilitation content is reserved for robust editions</x:v>
      </x:c>
      <x:c r="H20" s="50" t="str">
        <x:v>No</x:v>
      </x:c>
      <x:c r="I20" s="50" t="str">
        <x:v>Describe availability without saying content is unfinished</x:v>
      </x:c>
      <x:c r="J20" s="50" t="str">
        <x:v>Medium</x:v>
      </x:c>
      <x:c r="K20" s="50" t="str"/>
      <x:c r="L20" s="50" t="str">
        <x:v>Complete</x:v>
      </x:c>
      <x:c r="M20" s="56" t="str">
        <x:v>0.9</x:v>
      </x:c>
      <x:c r="N20" s="56" t="str"/>
      <x:c r="O20" s="56" t="str">
        <x:v>0.9</x:v>
      </x:c>
      <x:c r="P20" s="47" t="str"/>
      <x:c r="Q20" s="47" t="str"/>
      <x:c r="R20" s="53" t="n">
        <x:v>46255.666666666664</x:v>
      </x:c>
    </x:row>
    <x:row r="21">
      <x:c r="A21" s="47" t="str">
        <x:v>TOOL-001</x:v>
      </x:c>
      <x:c r="B21" s="47" t="str">
        <x:v>Toolkit</x:v>
      </x:c>
      <x:c r="C21" s="47" t="str">
        <x:v>Tool catalog</x:v>
      </x:c>
      <x:c r="D21" s="47" t="str">
        <x:v>49 fillable tools</x:v>
      </x:c>
      <x:c r="E21" s="47" t="str">
        <x:v>13 Foundation Tools, one per play</x:v>
      </x:c>
      <x:c r="F21" s="47" t="str">
        <x:v>Limited</x:v>
      </x:c>
      <x:c r="G21" s="47" t="str">
        <x:v>Foundation intentionally limits the professional tool library</x:v>
      </x:c>
      <x:c r="H21" s="50" t="str">
        <x:v>No</x:v>
      </x:c>
      <x:c r="I21" s="50" t="str">
        <x:v>Keep canonical tool IDs and explicit edition mappings</x:v>
      </x:c>
      <x:c r="J21" s="50" t="str">
        <x:v>High</x:v>
      </x:c>
      <x:c r="K21" s="50" t="str"/>
      <x:c r="L21" s="50" t="str">
        <x:v>Complete</x:v>
      </x:c>
      <x:c r="M21" s="56" t="str">
        <x:v>0.9</x:v>
      </x:c>
      <x:c r="N21" s="56" t="str">
        <x:v>0.9</x:v>
      </x:c>
      <x:c r="O21" s="56" t="str">
        <x:v>0.9</x:v>
      </x:c>
      <x:c r="P21" s="47" t="str">
        <x:v>#/toolkit</x:v>
      </x:c>
      <x:c r="Q21" s="47" t="str">
        <x:v>mvp/toolkit.html</x:v>
      </x:c>
      <x:c r="R21" s="53" t="n">
        <x:v>46255.666666666664</x:v>
      </x:c>
    </x:row>
    <x:row r="22">
      <x:c r="A22" s="47" t="str">
        <x:v>TOOL-002</x:v>
      </x:c>
      <x:c r="B22" s="47" t="str">
        <x:v>Toolkit</x:v>
      </x:c>
      <x:c r="C22" s="47" t="str">
        <x:v>Guided fillable tool template</x:v>
      </x:c>
      <x:c r="D22" s="47" t="str">
        <x:v>Checkboxes, dropdowns, repeatable Other values, text fields, dynamic documentation, compact RASCI, tasks</x:v>
      </x:c>
      <x:c r="E22" s="47" t="str">
        <x:v>Simpler Foundation fillable tool form</x:v>
      </x:c>
      <x:c r="F22" s="47" t="str">
        <x:v>Limited</x:v>
      </x:c>
      <x:c r="G22" s="47" t="str">
        <x:v>Advanced guided interactions are a robust-edition benefit</x:v>
      </x:c>
      <x:c r="H22" s="50" t="str">
        <x:v>Review</x:v>
      </x:c>
      <x:c r="I22" s="50" t="str">
        <x:v>Document which guided controls are Foundation-appropriate without exposing protected methods</x:v>
      </x:c>
      <x:c r="J22" s="50" t="str">
        <x:v>High</x:v>
      </x:c>
      <x:c r="K22" s="50" t="str"/>
      <x:c r="L22" s="50" t="str">
        <x:v>In Review</x:v>
      </x:c>
      <x:c r="M22" s="56" t="str">
        <x:v>1.0</x:v>
      </x:c>
      <x:c r="N22" s="56" t="str"/>
      <x:c r="O22" s="56" t="str">
        <x:v>0.9</x:v>
      </x:c>
      <x:c r="P22" s="47" t="str"/>
      <x:c r="Q22" s="47" t="str"/>
      <x:c r="R22" s="53" t="n">
        <x:v>46255.666666666664</x:v>
      </x:c>
    </x:row>
    <x:row r="23">
      <x:c r="A23" s="47" t="str">
        <x:v>TOOL-003</x:v>
      </x:c>
      <x:c r="B23" s="47" t="str">
        <x:v>Toolkit</x:v>
      </x:c>
      <x:c r="C23" s="47" t="str">
        <x:v>Tool introduction guidance</x:v>
      </x:c>
      <x:c r="D23" s="47" t="str">
        <x:v>When, why, how, who/RASCI, approvers, references, and related plays</x:v>
      </x:c>
      <x:c r="E23" s="47" t="str">
        <x:v>Introductory instructions and related play</x:v>
      </x:c>
      <x:c r="F23" s="47" t="str">
        <x:v>Adapted</x:v>
      </x:c>
      <x:c r="G23" s="47" t="str">
        <x:v>Foundation guidance is shorter</x:v>
      </x:c>
      <x:c r="H23" s="50" t="str">
        <x:v>Yes</x:v>
      </x:c>
      <x:c r="I23" s="50" t="str">
        <x:v>Use shared intro template; tailor depth and references by edition</x:v>
      </x:c>
      <x:c r="J23" s="50" t="str">
        <x:v>High</x:v>
      </x:c>
      <x:c r="K23" s="50" t="str"/>
      <x:c r="L23" s="50" t="str">
        <x:v>In Progress</x:v>
      </x:c>
      <x:c r="M23" s="56" t="str">
        <x:v>1.0</x:v>
      </x:c>
      <x:c r="N23" s="56" t="str"/>
      <x:c r="O23" s="56" t="str">
        <x:v>0.9</x:v>
      </x:c>
      <x:c r="P23" s="47" t="str"/>
      <x:c r="Q23" s="47" t="str"/>
      <x:c r="R23" s="53" t="n">
        <x:v>46255.666666666664</x:v>
      </x:c>
    </x:row>
    <x:row r="24">
      <x:c r="A24" s="47" t="str">
        <x:v>TOOL-004</x:v>
      </x:c>
      <x:c r="B24" s="47" t="str">
        <x:v>Toolkit</x:v>
      </x:c>
      <x:c r="C24" s="47" t="str">
        <x:v>Public health examples and field help</x:v>
      </x:c>
      <x:c r="D24" s="47" t="str">
        <x:v>Scenario-based examples, hover guidance, and coherent examples across tool</x:v>
      </x:c>
      <x:c r="E24" s="47" t="str">
        <x:v>Foundation examples and instructions</x:v>
      </x:c>
      <x:c r="F24" s="47" t="str">
        <x:v>Adapted</x:v>
      </x:c>
      <x:c r="G24" s="47" t="str">
        <x:v>Depth may vary</x:v>
      </x:c>
      <x:c r="H24" s="50" t="str">
        <x:v>Review</x:v>
      </x:c>
      <x:c r="I24" s="50" t="str">
        <x:v>Maintain public-health specificity and avoid generic checkbox examples</x:v>
      </x:c>
      <x:c r="J24" s="50" t="str">
        <x:v>High</x:v>
      </x:c>
      <x:c r="K24" s="50" t="str"/>
      <x:c r="L24" s="50" t="str">
        <x:v>In Review</x:v>
      </x:c>
      <x:c r="M24" s="56" t="str">
        <x:v>1.0</x:v>
      </x:c>
      <x:c r="N24" s="56" t="str"/>
      <x:c r="O24" s="56" t="str">
        <x:v>0.9</x:v>
      </x:c>
      <x:c r="P24" s="47" t="str"/>
      <x:c r="Q24" s="47" t="str"/>
      <x:c r="R24" s="53" t="n">
        <x:v>46255.666666666664</x:v>
      </x:c>
    </x:row>
    <x:row r="25">
      <x:c r="A25" s="47" t="str">
        <x:v>TOOL-005</x:v>
      </x:c>
      <x:c r="B25" s="47" t="str">
        <x:v>Toolkit</x:v>
      </x:c>
      <x:c r="C25" s="47" t="str">
        <x:v>Task tracking from tools</x:v>
      </x:c>
      <x:c r="D25" s="47" t="str">
        <x:v>Tool tasks feed the integrated account/organization task tracker</x:v>
      </x:c>
      <x:c r="E25" s="47" t="str">
        <x:v>No organization-wide tracker; personal saved work only</x:v>
      </x:c>
      <x:c r="F25" s="47" t="str">
        <x:v>Not Available</x:v>
      </x:c>
      <x:c r="G25" s="47" t="str">
        <x:v>Reserved for organizational memberships</x:v>
      </x:c>
      <x:c r="H25" s="50" t="str">
        <x:v>No</x:v>
      </x:c>
      <x:c r="I25" s="50" t="str">
        <x:v>Present as higher-edition capability</x:v>
      </x:c>
      <x:c r="J25" s="50" t="str">
        <x:v>Medium</x:v>
      </x:c>
      <x:c r="K25" s="50" t="str"/>
      <x:c r="L25" s="50" t="str">
        <x:v>Planned</x:v>
      </x:c>
      <x:c r="M25" s="56" t="str">
        <x:v>Org 1.0</x:v>
      </x:c>
      <x:c r="N25" s="56" t="str"/>
      <x:c r="O25" s="56" t="str">
        <x:v>0.9</x:v>
      </x:c>
      <x:c r="P25" s="47" t="str"/>
      <x:c r="Q25" s="47" t="str"/>
      <x:c r="R25" s="53" t="n">
        <x:v>46255.666666666664</x:v>
      </x:c>
    </x:row>
    <x:row r="26">
      <x:c r="A26" s="47" t="str">
        <x:v>TOOL-006</x:v>
      </x:c>
      <x:c r="B26" s="47" t="str">
        <x:v>Toolkit</x:v>
      </x:c>
      <x:c r="C26" s="47" t="str">
        <x:v>Download and print</x:v>
      </x:c>
      <x:c r="D26" s="47" t="str">
        <x:v>Download/print completed tools</x:v>
      </x:c>
      <x:c r="E26" s="47" t="str">
        <x:v>Download/print Foundation Tools with free account</x:v>
      </x:c>
      <x:c r="F26" s="47" t="str">
        <x:v>Adapted</x:v>
      </x:c>
      <x:c r="G26" s="47" t="str">
        <x:v>Membership entitlement differs</x:v>
      </x:c>
      <x:c r="H26" s="50" t="str">
        <x:v>Yes</x:v>
      </x:c>
      <x:c r="I26" s="50" t="str">
        <x:v>Connect entitlement to production account service</x:v>
      </x:c>
      <x:c r="J26" s="50" t="str">
        <x:v>High</x:v>
      </x:c>
      <x:c r="K26" s="50" t="str"/>
      <x:c r="L26" s="50" t="str">
        <x:v>Planned</x:v>
      </x:c>
      <x:c r="M26" s="56" t="str">
        <x:v>1.0</x:v>
      </x:c>
      <x:c r="N26" s="56" t="str"/>
      <x:c r="O26" s="56" t="str">
        <x:v>0.9</x:v>
      </x:c>
      <x:c r="P26" s="47" t="str"/>
      <x:c r="Q26" s="47" t="str"/>
      <x:c r="R26" s="53" t="n">
        <x:v>46255.666666666664</x:v>
      </x:c>
    </x:row>
    <x:row r="27">
      <x:c r="A27" s="47" t="str">
        <x:v>LEARN-001</x:v>
      </x:c>
      <x:c r="B27" s="47" t="str">
        <x:v>Learning</x:v>
      </x:c>
      <x:c r="C27" s="47" t="str">
        <x:v>Learning catalog</x:v>
      </x:c>
      <x:c r="D27" s="47" t="str">
        <x:v>89 developed modules across foundational, role-based, functional, leadership, and technical tracks</x:v>
      </x:c>
      <x:c r="E27" s="47" t="str">
        <x:v>9 Foundation modules available; other developed modules described but not accessible</x:v>
      </x:c>
      <x:c r="F27" s="47" t="str">
        <x:v>Limited</x:v>
      </x:c>
      <x:c r="G27" s="47" t="str">
        <x:v>Foundation is an entry tier, not an unfinished curriculum</x:v>
      </x:c>
      <x:c r="H27" s="50" t="str">
        <x:v>Review</x:v>
      </x:c>
      <x:c r="I27" s="50" t="str">
        <x:v>Use 'available in other editions' language consistently</x:v>
      </x:c>
      <x:c r="J27" s="50" t="str">
        <x:v>High</x:v>
      </x:c>
      <x:c r="K27" s="50" t="str"/>
      <x:c r="L27" s="50" t="str">
        <x:v>In Progress</x:v>
      </x:c>
      <x:c r="M27" s="56" t="str">
        <x:v>1.0</x:v>
      </x:c>
      <x:c r="N27" s="56" t="str"/>
      <x:c r="O27" s="56" t="str">
        <x:v>0.9</x:v>
      </x:c>
      <x:c r="P27" s="47" t="str">
        <x:v>#/learn</x:v>
      </x:c>
      <x:c r="Q27" s="47" t="str">
        <x:v>mvp/learning.html</x:v>
      </x:c>
      <x:c r="R27" s="53" t="n">
        <x:v>46255.666666666664</x:v>
      </x:c>
    </x:row>
    <x:row r="28">
      <x:c r="A28" s="47" t="str">
        <x:v>LEARN-002</x:v>
      </x:c>
      <x:c r="B28" s="47" t="str">
        <x:v>Learning</x:v>
      </x:c>
      <x:c r="C28" s="47" t="str">
        <x:v>Catalog search and filters</x:v>
      </x:c>
      <x:c r="D28" s="47" t="str">
        <x:v>Search, level, family, prerequisites, duration, and track sequencing</x:v>
      </x:c>
      <x:c r="E28" s="47" t="str">
        <x:v>Foundation catalog and learning-track information</x:v>
      </x:c>
      <x:c r="F28" s="47" t="str">
        <x:v>Limited</x:v>
      </x:c>
      <x:c r="G28" s="47" t="str">
        <x:v>Foundation currently has fewer filtering needs</x:v>
      </x:c>
      <x:c r="H28" s="50" t="str">
        <x:v>Review</x:v>
      </x:c>
      <x:c r="I28" s="50" t="str">
        <x:v>Use shared search/filter component; hide irrelevant filters rather than changing template</x:v>
      </x:c>
      <x:c r="J28" s="50" t="str">
        <x:v>Medium</x:v>
      </x:c>
      <x:c r="K28" s="50" t="str"/>
      <x:c r="L28" s="50" t="str">
        <x:v>Planned</x:v>
      </x:c>
      <x:c r="M28" s="56" t="str">
        <x:v>1.0</x:v>
      </x:c>
      <x:c r="N28" s="56" t="str"/>
      <x:c r="O28" s="56" t="str">
        <x:v>0.9</x:v>
      </x:c>
      <x:c r="P28" s="47" t="str"/>
      <x:c r="Q28" s="47" t="str"/>
      <x:c r="R28" s="53" t="n">
        <x:v>46255.666666666664</x:v>
      </x:c>
    </x:row>
    <x:row r="29">
      <x:c r="A29" s="47" t="str">
        <x:v>LEARN-003</x:v>
      </x:c>
      <x:c r="B29" s="47" t="str">
        <x:v>Learning</x:v>
      </x:c>
      <x:c r="C29" s="47" t="str">
        <x:v>Role-based learning pathways</x:v>
      </x:c>
      <x:c r="D29" s="47" t="str">
        <x:v>All developed pathway modules available according to entitlement</x:v>
      </x:c>
      <x:c r="E29" s="47" t="str">
        <x:v>Canned pathway information available; non-Foundation modules locked</x:v>
      </x:c>
      <x:c r="F29" s="47" t="str">
        <x:v>Adapted</x:v>
      </x:c>
      <x:c r="G29" s="47" t="str">
        <x:v>Foundation can view recommendations but not take locked modules</x:v>
      </x:c>
      <x:c r="H29" s="50" t="str">
        <x:v>No</x:v>
      </x:c>
      <x:c r="I29" s="50" t="str">
        <x:v>Keep sequence and descriptions aligned to canonical curriculum</x:v>
      </x:c>
      <x:c r="J29" s="50" t="str">
        <x:v>High</x:v>
      </x:c>
      <x:c r="K29" s="50" t="str"/>
      <x:c r="L29" s="50" t="str">
        <x:v>Complete</x:v>
      </x:c>
      <x:c r="M29" s="56" t="str">
        <x:v>0.9</x:v>
      </x:c>
      <x:c r="N29" s="56" t="str"/>
      <x:c r="O29" s="56" t="str">
        <x:v>0.9</x:v>
      </x:c>
      <x:c r="P29" s="47" t="str"/>
      <x:c r="Q29" s="47" t="str"/>
      <x:c r="R29" s="53" t="n">
        <x:v>46255.666666666664</x:v>
      </x:c>
    </x:row>
    <x:row r="30">
      <x:c r="A30" s="47" t="str">
        <x:v>LEARN-004</x:v>
      </x:c>
      <x:c r="B30" s="47" t="str">
        <x:v>Learning</x:v>
      </x:c>
      <x:c r="C30" s="47" t="str">
        <x:v>Personalized learning assessment</x:v>
      </x:c>
      <x:c r="D30" s="47" t="str">
        <x:v>Role-scaled competency assessment; recommendations saved to My Account</x:v>
      </x:c>
      <x:c r="E30" s="47" t="str">
        <x:v>Same assessment after free account; recommends locked and available modules clearly</x:v>
      </x:c>
      <x:c r="F30" s="47" t="str">
        <x:v>Adapted</x:v>
      </x:c>
      <x:c r="G30" s="47" t="str">
        <x:v>Course access differs, assessment logic should not</x:v>
      </x:c>
      <x:c r="H30" s="50" t="str">
        <x:v>Review</x:v>
      </x:c>
      <x:c r="I30" s="50" t="str">
        <x:v>Verify every role has appropriate competency depth and edition-aware calls to action</x:v>
      </x:c>
      <x:c r="J30" s="50" t="str">
        <x:v>High</x:v>
      </x:c>
      <x:c r="K30" s="50" t="str"/>
      <x:c r="L30" s="50" t="str">
        <x:v>In Progress</x:v>
      </x:c>
      <x:c r="M30" s="56" t="str">
        <x:v>1.0</x:v>
      </x:c>
      <x:c r="N30" s="56" t="str"/>
      <x:c r="O30" s="56" t="str">
        <x:v>0.9</x:v>
      </x:c>
      <x:c r="P30" s="47" t="str"/>
      <x:c r="Q30" s="47" t="str"/>
      <x:c r="R30" s="53" t="n">
        <x:v>46255.666666666664</x:v>
      </x:c>
    </x:row>
    <x:row r="31">
      <x:c r="A31" s="47" t="str">
        <x:v>LEARN-005</x:v>
      </x:c>
      <x:c r="B31" s="47" t="str">
        <x:v>Learning</x:v>
      </x:c>
      <x:c r="C31" s="47" t="str">
        <x:v>Learning progress</x:v>
      </x:c>
      <x:c r="D31" s="47" t="str">
        <x:v>Tracks completed modules, assessment results, and recommendations</x:v>
      </x:c>
      <x:c r="E31" s="47" t="str">
        <x:v>Tracks Foundation completions, assessment results, and recommendations</x:v>
      </x:c>
      <x:c r="F31" s="47" t="str">
        <x:v>Adapted</x:v>
      </x:c>
      <x:c r="G31" s="47" t="str">
        <x:v>Foundation cannot complete locked modules</x:v>
      </x:c>
      <x:c r="H31" s="50" t="str">
        <x:v>Yes</x:v>
      </x:c>
      <x:c r="I31" s="50" t="str">
        <x:v>Connect to durable account storage and distinguish recommended vs available</x:v>
      </x:c>
      <x:c r="J31" s="50" t="str">
        <x:v>High</x:v>
      </x:c>
      <x:c r="K31" s="50" t="str"/>
      <x:c r="L31" s="50" t="str">
        <x:v>Planned</x:v>
      </x:c>
      <x:c r="M31" s="56" t="str">
        <x:v>1.0</x:v>
      </x:c>
      <x:c r="N31" s="56" t="str"/>
      <x:c r="O31" s="56" t="str">
        <x:v>0.9</x:v>
      </x:c>
      <x:c r="P31" s="47" t="str"/>
      <x:c r="Q31" s="47" t="str"/>
      <x:c r="R31" s="53" t="n">
        <x:v>46255.666666666664</x:v>
      </x:c>
    </x:row>
    <x:row r="32">
      <x:c r="A32" s="47" t="str">
        <x:v>LEARN-006</x:v>
      </x:c>
      <x:c r="B32" s="47" t="str">
        <x:v>Learning</x:v>
      </x:c>
      <x:c r="C32" s="47" t="str">
        <x:v>Module detail template</x:v>
      </x:c>
      <x:c r="D32" s="47" t="str">
        <x:v>Shared objectives, lessons, public health scenarios, practical application, knowledge check, references, related plays/tools</x:v>
      </x:c>
      <x:c r="E32" s="47" t="str">
        <x:v>Same template for available Foundation modules; locked modules show edition availability</x:v>
      </x:c>
      <x:c r="F32" s="47" t="str">
        <x:v>Adapted</x:v>
      </x:c>
      <x:c r="G32" s="47" t="str">
        <x:v>Access and content depth differ</x:v>
      </x:c>
      <x:c r="H32" s="50" t="str">
        <x:v>Yes</x:v>
      </x:c>
      <x:c r="I32" s="50" t="str">
        <x:v>Use shared module template and entitlement layer</x:v>
      </x:c>
      <x:c r="J32" s="50" t="str">
        <x:v>High</x:v>
      </x:c>
      <x:c r="K32" s="50" t="str"/>
      <x:c r="L32" s="50" t="str">
        <x:v>In Progress</x:v>
      </x:c>
      <x:c r="M32" s="56" t="str">
        <x:v>1.0</x:v>
      </x:c>
      <x:c r="N32" s="56" t="str"/>
      <x:c r="O32" s="56" t="str">
        <x:v>0.9</x:v>
      </x:c>
      <x:c r="P32" s="47" t="str"/>
      <x:c r="Q32" s="47" t="str"/>
      <x:c r="R32" s="53" t="n">
        <x:v>46255.666666666664</x:v>
      </x:c>
    </x:row>
    <x:row r="33">
      <x:c r="A33" s="47" t="str">
        <x:v>ACCOUNT-001</x:v>
      </x:c>
      <x:c r="B33" s="47" t="str">
        <x:v>Accounts</x:v>
      </x:c>
      <x:c r="C33" s="47" t="str">
        <x:v>Individual My Account</x:v>
      </x:c>
      <x:c r="D33" s="47" t="str">
        <x:v>Administrator-oriented personal dashboard with saved work, learning, assessments, downloads, and tasks</x:v>
      </x:c>
      <x:c r="E33" s="47" t="str">
        <x:v>Simple free-member account for downloads, assessment results, and Foundation learning</x:v>
      </x:c>
      <x:c r="F33" s="47" t="str">
        <x:v>Adapted</x:v>
      </x:c>
      <x:c r="G33" s="47" t="str">
        <x:v>Foundation should be simpler and clearly individual</x:v>
      </x:c>
      <x:c r="H33" s="50" t="str">
        <x:v>Review</x:v>
      </x:c>
      <x:c r="I33" s="50" t="str">
        <x:v>Label Full administrative view and prevent organization controls from cluttering personal account</x:v>
      </x:c>
      <x:c r="J33" s="50" t="str">
        <x:v>High</x:v>
      </x:c>
      <x:c r="K33" s="50" t="str"/>
      <x:c r="L33" s="50" t="str">
        <x:v>In Progress</x:v>
      </x:c>
      <x:c r="M33" s="56" t="str">
        <x:v>1.0</x:v>
      </x:c>
      <x:c r="N33" s="56" t="str"/>
      <x:c r="O33" s="56" t="str">
        <x:v>0.9</x:v>
      </x:c>
      <x:c r="P33" s="47" t="str"/>
      <x:c r="Q33" s="47" t="str"/>
      <x:c r="R33" s="53" t="n">
        <x:v>46255.666666666664</x:v>
      </x:c>
    </x:row>
    <x:row r="34">
      <x:c r="A34" s="47" t="str">
        <x:v>ACCOUNT-002</x:v>
      </x:c>
      <x:c r="B34" s="47" t="str">
        <x:v>Accounts</x:v>
      </x:c>
      <x:c r="C34" s="47" t="str">
        <x:v>Free membership prerequisite</x:v>
      </x:c>
      <x:c r="D34" s="47" t="str">
        <x:v>Membership used for saved activity and access</x:v>
      </x:c>
      <x:c r="E34" s="47" t="str">
        <x:v>Required for downloads, personalized learning assessment, and reviewer eligibility</x:v>
      </x:c>
      <x:c r="F34" s="47" t="str">
        <x:v>Foundation Only</x:v>
      </x:c>
      <x:c r="G34" s="47" t="str">
        <x:v>Foundation membership is a trust and conversion mechanism</x:v>
      </x:c>
      <x:c r="H34" s="50" t="str">
        <x:v>Yes</x:v>
      </x:c>
      <x:c r="I34" s="50" t="str">
        <x:v>Implement production authentication, consent, and account recovery</x:v>
      </x:c>
      <x:c r="J34" s="50" t="str">
        <x:v>High</x:v>
      </x:c>
      <x:c r="K34" s="50" t="str"/>
      <x:c r="L34" s="50" t="str">
        <x:v>Planned</x:v>
      </x:c>
      <x:c r="M34" s="56" t="str">
        <x:v>1.0</x:v>
      </x:c>
      <x:c r="N34" s="56" t="str"/>
      <x:c r="O34" s="56" t="str">
        <x:v>0.9</x:v>
      </x:c>
      <x:c r="P34" s="47" t="str"/>
      <x:c r="Q34" s="47" t="str"/>
      <x:c r="R34" s="53" t="n">
        <x:v>46255.666666666664</x:v>
      </x:c>
    </x:row>
    <x:row r="35">
      <x:c r="A35" s="47" t="str">
        <x:v>ORG-001</x:v>
      </x:c>
      <x:c r="B35" s="47" t="str">
        <x:v>Organization</x:v>
      </x:c>
      <x:c r="C35" s="47" t="str">
        <x:v>Organization Hub</x:v>
      </x:c>
      <x:c r="D35" s="47" t="str">
        <x:v>Tiered organization dashboard, admin, users, training, workplan, metrics, and reporting</x:v>
      </x:c>
      <x:c r="E35" s="47" t="str">
        <x:v>Not available</x:v>
      </x:c>
      <x:c r="F35" s="47" t="str">
        <x:v>Not Available</x:v>
      </x:c>
      <x:c r="G35" s="47" t="str">
        <x:v>Organization capabilities require organization-level membership</x:v>
      </x:c>
      <x:c r="H35" s="50" t="str">
        <x:v>No</x:v>
      </x:c>
      <x:c r="I35" s="50" t="str">
        <x:v>Keep navigation hidden in Foundation and describe benefit on edition pages</x:v>
      </x:c>
      <x:c r="J35" s="50" t="str">
        <x:v>High</x:v>
      </x:c>
      <x:c r="K35" s="50" t="str"/>
      <x:c r="L35" s="50" t="str">
        <x:v>Planned</x:v>
      </x:c>
      <x:c r="M35" s="56" t="str">
        <x:v>Org 1.0</x:v>
      </x:c>
      <x:c r="N35" s="56" t="str"/>
      <x:c r="O35" s="56" t="str"/>
      <x:c r="P35" s="47" t="str">
        <x:v>#/organization</x:v>
      </x:c>
      <x:c r="Q35" s="47" t="str"/>
      <x:c r="R35" s="53" t="n">
        <x:v>46255.666666666664</x:v>
      </x:c>
    </x:row>
    <x:row r="36">
      <x:c r="A36" s="47" t="str">
        <x:v>ORG-002</x:v>
      </x:c>
      <x:c r="B36" s="47" t="str">
        <x:v>Organization</x:v>
      </x:c>
      <x:c r="C36" s="47" t="str">
        <x:v>Organization users and permissions</x:v>
      </x:c>
      <x:c r="D36" s="47" t="str">
        <x:v>Organization administrators can manage member visibility and roles</x:v>
      </x:c>
      <x:c r="E36" s="47" t="str">
        <x:v>Not available</x:v>
      </x:c>
      <x:c r="F36" s="47" t="str">
        <x:v>Not Available</x:v>
      </x:c>
      <x:c r="G36" s="47" t="str">
        <x:v>Requires identity, tenancy, and role-based access control</x:v>
      </x:c>
      <x:c r="H36" s="50" t="str">
        <x:v>No</x:v>
      </x:c>
      <x:c r="I36" s="50" t="str">
        <x:v>Release only with security and privacy controls</x:v>
      </x:c>
      <x:c r="J36" s="50" t="str">
        <x:v>High</x:v>
      </x:c>
      <x:c r="K36" s="50" t="str"/>
      <x:c r="L36" s="50" t="str">
        <x:v>Backlog</x:v>
      </x:c>
      <x:c r="M36" s="56" t="str">
        <x:v>Org 1.0</x:v>
      </x:c>
      <x:c r="N36" s="56" t="str"/>
      <x:c r="O36" s="56" t="str">
        <x:v>0.9</x:v>
      </x:c>
      <x:c r="P36" s="47" t="str"/>
      <x:c r="Q36" s="47" t="str"/>
      <x:c r="R36" s="53" t="n">
        <x:v>46255.666666666664</x:v>
      </x:c>
    </x:row>
    <x:row r="37">
      <x:c r="A37" s="47" t="str">
        <x:v>CASE-001</x:v>
      </x:c>
      <x:c r="B37" s="47" t="str">
        <x:v>Case studies</x:v>
      </x:c>
      <x:c r="C37" s="47" t="str">
        <x:v>Case study catalog</x:v>
      </x:c>
      <x:c r="D37" s="47" t="str">
        <x:v>Full case studies and project examples</x:v>
      </x:c>
      <x:c r="E37" s="47" t="str">
        <x:v>Appropriate public summaries</x:v>
      </x:c>
      <x:c r="F37" s="47" t="str">
        <x:v>Limited</x:v>
      </x:c>
      <x:c r="G37" s="47" t="str">
        <x:v>Foundation can build trust without releasing protected analysis</x:v>
      </x:c>
      <x:c r="H37" s="50" t="str">
        <x:v>Review</x:v>
      </x:c>
      <x:c r="I37" s="50" t="str">
        <x:v>Keep shared template and canonical public facts</x:v>
      </x:c>
      <x:c r="J37" s="50" t="str">
        <x:v>Medium</x:v>
      </x:c>
      <x:c r="K37" s="50" t="str"/>
      <x:c r="L37" s="50" t="str">
        <x:v>In Progress</x:v>
      </x:c>
      <x:c r="M37" s="56" t="str">
        <x:v>1.0</x:v>
      </x:c>
      <x:c r="N37" s="56" t="str"/>
      <x:c r="O37" s="56" t="str">
        <x:v>0.9</x:v>
      </x:c>
      <x:c r="P37" s="47" t="str">
        <x:v>#/cases</x:v>
      </x:c>
      <x:c r="Q37" s="47" t="str">
        <x:v>mvp/foundation-page.html?view=cases</x:v>
      </x:c>
      <x:c r="R37" s="53" t="n">
        <x:v>46255.666666666664</x:v>
      </x:c>
    </x:row>
    <x:row r="38">
      <x:c r="A38" s="47" t="str">
        <x:v>COMM-001</x:v>
      </x:c>
      <x:c r="B38" s="47" t="str">
        <x:v>Community</x:v>
      </x:c>
      <x:c r="C38" s="47" t="str">
        <x:v>Community page</x:v>
      </x:c>
      <x:c r="D38" s="47" t="str">
        <x:v>Community content and future member interaction pathways</x:v>
      </x:c>
      <x:c r="E38" s="47" t="str">
        <x:v>Same public community information</x:v>
      </x:c>
      <x:c r="F38" s="47" t="str">
        <x:v>Adapted</x:v>
      </x:c>
      <x:c r="G38" s="47" t="str">
        <x:v>Interactive/member features may be limited</x:v>
      </x:c>
      <x:c r="H38" s="50" t="str">
        <x:v>Yes</x:v>
      </x:c>
      <x:c r="I38" s="50" t="str">
        <x:v>Use shared template and keep Foundation edition information outside Community</x:v>
      </x:c>
      <x:c r="J38" s="50" t="str">
        <x:v>Medium</x:v>
      </x:c>
      <x:c r="K38" s="50" t="str"/>
      <x:c r="L38" s="50" t="str">
        <x:v>In Progress</x:v>
      </x:c>
      <x:c r="M38" s="56" t="str">
        <x:v>1.0</x:v>
      </x:c>
      <x:c r="N38" s="56" t="str"/>
      <x:c r="O38" s="56" t="str">
        <x:v>0.9</x:v>
      </x:c>
      <x:c r="P38" s="47" t="str"/>
      <x:c r="Q38" s="47" t="str"/>
      <x:c r="R38" s="53" t="n">
        <x:v>46255.666666666664</x:v>
      </x:c>
    </x:row>
    <x:row r="39">
      <x:c r="A39" s="47" t="str">
        <x:v>CONTRIB-001</x:v>
      </x:c>
      <x:c r="B39" s="47" t="str">
        <x:v>Contribute</x:v>
      </x:c>
      <x:c r="C39" s="47" t="str">
        <x:v>Reviewer application</x:v>
      </x:c>
      <x:c r="D39" s="47" t="str">
        <x:v>Application to review pre-release materials; benefits and expectations</x:v>
      </x:c>
      <x:c r="E39" s="47" t="str">
        <x:v>Same opportunity; free membership prerequisite</x:v>
      </x:c>
      <x:c r="F39" s="47" t="str">
        <x:v>Adapted</x:v>
      </x:c>
      <x:c r="G39" s="47" t="str">
        <x:v>Foundation emphasizes reviewer recruitment</x:v>
      </x:c>
      <x:c r="H39" s="50" t="str">
        <x:v>Yes</x:v>
      </x:c>
      <x:c r="I39" s="50" t="str">
        <x:v>Use same reviewer criteria and remove tool-donation solicitation</x:v>
      </x:c>
      <x:c r="J39" s="50" t="str">
        <x:v>High</x:v>
      </x:c>
      <x:c r="K39" s="50" t="str"/>
      <x:c r="L39" s="50" t="str">
        <x:v>In Progress</x:v>
      </x:c>
      <x:c r="M39" s="56" t="str">
        <x:v>1.0</x:v>
      </x:c>
      <x:c r="N39" s="56" t="str"/>
      <x:c r="O39" s="56" t="str">
        <x:v>0.9</x:v>
      </x:c>
      <x:c r="P39" s="47" t="str"/>
      <x:c r="Q39" s="47" t="str"/>
      <x:c r="R39" s="53" t="n">
        <x:v>46255.666666666664</x:v>
      </x:c>
    </x:row>
    <x:row r="40">
      <x:c r="A40" s="47" t="str">
        <x:v>CONTRIB-002</x:v>
      </x:c>
      <x:c r="B40" s="47" t="str">
        <x:v>Contribute</x:v>
      </x:c>
      <x:c r="C40" s="47" t="str">
        <x:v>Tool contribution solicitation</x:v>
      </x:c>
      <x:c r="D40" s="47" t="str">
        <x:v>Removed for paid/proprietary model</x:v>
      </x:c>
      <x:c r="E40" s="47" t="str">
        <x:v>Removed</x:v>
      </x:c>
      <x:c r="F40" s="47" t="str">
        <x:v>Same</x:v>
      </x:c>
      <x:c r="G40" s="47" t="str">
        <x:v>No public tool solicitation</x:v>
      </x:c>
      <x:c r="H40" s="50" t="str">
        <x:v>No</x:v>
      </x:c>
      <x:c r="I40" s="50" t="str">
        <x:v>Retain feedback/corrections and reviewer routes only</x:v>
      </x:c>
      <x:c r="J40" s="50" t="str">
        <x:v>High</x:v>
      </x:c>
      <x:c r="K40" s="50" t="str"/>
      <x:c r="L40" s="50" t="str">
        <x:v>Complete</x:v>
      </x:c>
      <x:c r="M40" s="56" t="str">
        <x:v>0.9</x:v>
      </x:c>
      <x:c r="N40" s="56" t="str"/>
      <x:c r="O40" s="56" t="str">
        <x:v>0.9</x:v>
      </x:c>
      <x:c r="P40" s="47" t="str"/>
      <x:c r="Q40" s="47" t="str"/>
      <x:c r="R40" s="53" t="n">
        <x:v>46255.666666666664</x:v>
      </x:c>
    </x:row>
    <x:row r="41">
      <x:c r="A41" s="47" t="str">
        <x:v>REF-001</x:v>
      </x:c>
      <x:c r="B41" s="47" t="str">
        <x:v>Resources</x:v>
      </x:c>
      <x:c r="C41" s="47" t="str">
        <x:v>Reference library</x:v>
      </x:c>
      <x:c r="D41" s="47" t="str">
        <x:v>Full reference library linked to relevant plays, tools, and modules</x:v>
      </x:c>
      <x:c r="E41" s="47" t="str">
        <x:v>Foundational public resources with same provenance standards</x:v>
      </x:c>
      <x:c r="F41" s="47" t="str">
        <x:v>Adapted</x:v>
      </x:c>
      <x:c r="G41" s="47" t="str">
        <x:v>Breadth differs</x:v>
      </x:c>
      <x:c r="H41" s="50" t="str">
        <x:v>Review</x:v>
      </x:c>
      <x:c r="I41" s="50" t="str">
        <x:v>Maintain canonical source records; filter presentation by edition</x:v>
      </x:c>
      <x:c r="J41" s="50" t="str">
        <x:v>High</x:v>
      </x:c>
      <x:c r="K41" s="50" t="str"/>
      <x:c r="L41" s="50" t="str">
        <x:v>In Progress</x:v>
      </x:c>
      <x:c r="M41" s="56" t="str">
        <x:v>1.0</x:v>
      </x:c>
      <x:c r="N41" s="56" t="str"/>
      <x:c r="O41" s="56" t="str">
        <x:v>0.9</x:v>
      </x:c>
      <x:c r="P41" s="47" t="str">
        <x:v>#/references</x:v>
      </x:c>
      <x:c r="Q41" s="47" t="str">
        <x:v>mvp/resources.html</x:v>
      </x:c>
      <x:c r="R41" s="53" t="n">
        <x:v>46255.666666666664</x:v>
      </x:c>
    </x:row>
    <x:row r="42">
      <x:c r="A42" s="47" t="str">
        <x:v>REF-002</x:v>
      </x:c>
      <x:c r="B42" s="47" t="str">
        <x:v>Resources</x:v>
      </x:c>
      <x:c r="C42" s="47" t="str">
        <x:v>Landscape review metadata</x:v>
      </x:c>
      <x:c r="D42" s="47" t="str">
        <x:v>Review date and cycle displayed at bottom of resources page</x:v>
      </x:c>
      <x:c r="E42" s="47" t="str">
        <x:v>Same</x:v>
      </x:c>
      <x:c r="F42" s="47" t="str">
        <x:v>Same</x:v>
      </x:c>
      <x:c r="G42" s="47" t="str">
        <x:v>Metadata placement should match</x:v>
      </x:c>
      <x:c r="H42" s="50" t="str">
        <x:v>No</x:v>
      </x:c>
      <x:c r="I42" s="50" t="str">
        <x:v>Update from one shared record</x:v>
      </x:c>
      <x:c r="J42" s="50" t="str">
        <x:v>Medium</x:v>
      </x:c>
      <x:c r="K42" s="50" t="str"/>
      <x:c r="L42" s="50" t="str">
        <x:v>Complete</x:v>
      </x:c>
      <x:c r="M42" s="56" t="str">
        <x:v>0.9</x:v>
      </x:c>
      <x:c r="N42" s="56" t="str"/>
      <x:c r="O42" s="56" t="str">
        <x:v>0.9</x:v>
      </x:c>
      <x:c r="P42" s="47" t="str"/>
      <x:c r="Q42" s="47" t="str"/>
      <x:c r="R42" s="53" t="n">
        <x:v>46255.666666666664</x:v>
      </x:c>
    </x:row>
    <x:row r="43">
      <x:c r="A43" s="47" t="str">
        <x:v>NEWS-001</x:v>
      </x:c>
      <x:c r="B43" s="47" t="str">
        <x:v>News</x:v>
      </x:c>
      <x:c r="C43" s="47" t="str">
        <x:v>Curated public health AI news feed</x:v>
      </x:c>
      <x:c r="D43" s="47" t="str">
        <x:v>Governmental public health AI projects, relevant advances, laws, and regulations</x:v>
      </x:c>
      <x:c r="E43" s="47" t="str">
        <x:v>Same public feed</x:v>
      </x:c>
      <x:c r="F43" s="47" t="str">
        <x:v>Same</x:v>
      </x:c>
      <x:c r="G43" s="47" t="str">
        <x:v>Shared feed and editorial standard</x:v>
      </x:c>
      <x:c r="H43" s="50" t="str">
        <x:v>Review</x:v>
      </x:c>
      <x:c r="I43" s="50" t="str">
        <x:v>Use common source configuration; confirm links and freshness</x:v>
      </x:c>
      <x:c r="J43" s="50" t="str">
        <x:v>Medium</x:v>
      </x:c>
      <x:c r="K43" s="50" t="str"/>
      <x:c r="L43" s="50" t="str">
        <x:v>In Progress</x:v>
      </x:c>
      <x:c r="M43" s="56" t="str">
        <x:v>1.0</x:v>
      </x:c>
      <x:c r="N43" s="56" t="str"/>
      <x:c r="O43" s="56" t="str">
        <x:v>0.9</x:v>
      </x:c>
      <x:c r="P43" s="47" t="str">
        <x:v>#/news</x:v>
      </x:c>
      <x:c r="Q43" s="47" t="str">
        <x:v>mvp/foundation-page.html?view=news</x:v>
      </x:c>
      <x:c r="R43" s="53" t="n">
        <x:v>46255.666666666664</x:v>
      </x:c>
    </x:row>
    <x:row r="44">
      <x:c r="A44" s="47" t="str">
        <x:v>CONSULT-001</x:v>
      </x:c>
      <x:c r="B44" s="47" t="str">
        <x:v>Services</x:v>
      </x:c>
      <x:c r="C44" s="47" t="str">
        <x:v>Need More Help consulting page</x:v>
      </x:c>
      <x:c r="D44" s="47" t="str">
        <x:v>Consulting offerings linked throughout</x:v>
      </x:c>
      <x:c r="E44" s="47" t="str">
        <x:v>Same consulting offerings page</x:v>
      </x:c>
      <x:c r="F44" s="47" t="str">
        <x:v>Same</x:v>
      </x:c>
      <x:c r="G44" s="47" t="str">
        <x:v>Destinations differ by routing only</x:v>
      </x:c>
      <x:c r="H44" s="50" t="str">
        <x:v>No</x:v>
      </x:c>
      <x:c r="I44" s="50" t="str">
        <x:v>Keep offerings aligned to business plan</x:v>
      </x:c>
      <x:c r="J44" s="50" t="str">
        <x:v>Medium</x:v>
      </x:c>
      <x:c r="K44" s="50" t="str"/>
      <x:c r="L44" s="50" t="str">
        <x:v>Complete</x:v>
      </x:c>
      <x:c r="M44" s="56" t="str">
        <x:v>0.9</x:v>
      </x:c>
      <x:c r="N44" s="56" t="str">
        <x:v>0.9</x:v>
      </x:c>
      <x:c r="O44" s="56" t="str">
        <x:v>0.9</x:v>
      </x:c>
      <x:c r="P44" s="47" t="str">
        <x:v>#/consulting</x:v>
      </x:c>
      <x:c r="Q44" s="47" t="str">
        <x:v>mvp/consulting.html</x:v>
      </x:c>
      <x:c r="R44" s="53" t="n">
        <x:v>46255.666666666664</x:v>
      </x:c>
    </x:row>
    <x:row r="45">
      <x:c r="A45" s="47" t="str">
        <x:v>CONTACT-001</x:v>
      </x:c>
      <x:c r="B45" s="47" t="str">
        <x:v>Contact</x:v>
      </x:c>
      <x:c r="C45" s="47" t="str">
        <x:v>Contact page</x:v>
      </x:c>
      <x:c r="D45" s="47" t="str">
        <x:v>Full contact route</x:v>
      </x:c>
      <x:c r="E45" s="47" t="str">
        <x:v>Foundation contact route</x:v>
      </x:c>
      <x:c r="F45" s="47" t="str">
        <x:v>Same</x:v>
      </x:c>
      <x:c r="G45" s="47" t="str">
        <x:v>Shared form fields and privacy language</x:v>
      </x:c>
      <x:c r="H45" s="50" t="str">
        <x:v>Yes</x:v>
      </x:c>
      <x:c r="I45" s="50" t="str">
        <x:v>Connect approved production form service</x:v>
      </x:c>
      <x:c r="J45" s="50" t="str">
        <x:v>Medium</x:v>
      </x:c>
      <x:c r="K45" s="50" t="str"/>
      <x:c r="L45" s="50" t="str">
        <x:v>Planned</x:v>
      </x:c>
      <x:c r="M45" s="56" t="str">
        <x:v>1.0</x:v>
      </x:c>
      <x:c r="N45" s="56" t="str"/>
      <x:c r="O45" s="56" t="str">
        <x:v>0.9</x:v>
      </x:c>
      <x:c r="P45" s="47" t="str"/>
      <x:c r="Q45" s="47" t="str"/>
      <x:c r="R45" s="53" t="n">
        <x:v>46255.666666666664</x:v>
      </x:c>
    </x:row>
    <x:row r="46">
      <x:c r="A46" s="47" t="str">
        <x:v>GOV-001</x:v>
      </x:c>
      <x:c r="B46" s="47" t="str">
        <x:v>Governance</x:v>
      </x:c>
      <x:c r="C46" s="47" t="str">
        <x:v>Content lifecycle and review metadata</x:v>
      </x:c>
      <x:c r="D46" s="47" t="str">
        <x:v>Canonical versioning, evidence review, update dates, and relationships</x:v>
      </x:c>
      <x:c r="E46" s="47" t="str">
        <x:v>Consumes approved public subset and displays edition/version status</x:v>
      </x:c>
      <x:c r="F46" s="47" t="str">
        <x:v>Adapted</x:v>
      </x:c>
      <x:c r="G46" s="47" t="str">
        <x:v>Foundation release state must be independently tracked</x:v>
      </x:c>
      <x:c r="H46" s="50" t="str">
        <x:v>Yes</x:v>
      </x:c>
      <x:c r="I46" s="50" t="str">
        <x:v>Use this workbook plus repository metadata as the release crosswalk</x:v>
      </x:c>
      <x:c r="J46" s="50" t="str">
        <x:v>High</x:v>
      </x:c>
      <x:c r="K46" s="50" t="str"/>
      <x:c r="L46" s="50" t="str">
        <x:v>In Progress</x:v>
      </x:c>
      <x:c r="M46" s="56" t="str">
        <x:v>1.0</x:v>
      </x:c>
      <x:c r="N46" s="56" t="str"/>
      <x:c r="O46" s="56" t="str">
        <x:v>0.9</x:v>
      </x:c>
      <x:c r="P46" s="47" t="str"/>
      <x:c r="Q46" s="47" t="str"/>
      <x:c r="R46" s="53" t="n">
        <x:v>46255.666666666664</x:v>
      </x:c>
    </x:row>
    <x:row r="47">
      <x:c r="A47" s="48" t="str">
        <x:v>GOV-002</x:v>
      </x:c>
      <x:c r="B47" s="48" t="str">
        <x:v>Governance</x:v>
      </x:c>
      <x:c r="C47" s="48" t="str">
        <x:v>Stable identifiers</x:v>
      </x:c>
      <x:c r="D47" s="48" t="str">
        <x:v>Stable IDs for plays, tools, modules, routes, and relationships</x:v>
      </x:c>
      <x:c r="E47" s="48" t="str">
        <x:v>Same IDs with edition mapping</x:v>
      </x:c>
      <x:c r="F47" s="48" t="str">
        <x:v>Same</x:v>
      </x:c>
      <x:c r="G47" s="48" t="str">
        <x:v>Required for reliable automation</x:v>
      </x:c>
      <x:c r="H47" s="51" t="str">
        <x:v>No</x:v>
      </x:c>
      <x:c r="I47" s="51" t="str">
        <x:v>Never key updates only by visible title</x:v>
      </x:c>
      <x:c r="J47" s="51" t="str">
        <x:v>High</x:v>
      </x:c>
      <x:c r="K47" s="51" t="str"/>
      <x:c r="L47" s="51" t="str">
        <x:v>Complete</x:v>
      </x:c>
      <x:c r="M47" s="57" t="str">
        <x:v>0.9</x:v>
      </x:c>
      <x:c r="N47" s="57" t="str"/>
      <x:c r="O47" s="57" t="str">
        <x:v>0.9</x:v>
      </x:c>
      <x:c r="P47" s="48" t="str"/>
      <x:c r="Q47" s="48" t="str"/>
      <x:c r="R47" s="54" t="n">
        <x:v>46255.666666666664</x:v>
      </x:c>
    </x:row>
    <x:row r="48">
      <x:c r="H48" s="15"/>
      <x:c r="I48" s="15"/>
      <x:c r="J48" s="15"/>
      <x:c r="K48" s="15"/>
      <x:c r="L48" s="15"/>
      <x:c r="M48" s="15"/>
      <x:c r="N48" s="15"/>
      <x:c r="O48" s="15"/>
      <x:c r="R48" s="15"/>
    </x:row>
    <x:row r="49">
      <x:c r="H49" s="15"/>
      <x:c r="I49" s="15"/>
      <x:c r="J49" s="15"/>
      <x:c r="K49" s="15"/>
      <x:c r="L49" s="15"/>
      <x:c r="M49" s="15"/>
      <x:c r="N49" s="15"/>
      <x:c r="O49" s="15"/>
      <x:c r="R49" s="15"/>
    </x:row>
    <x:row r="50">
      <x:c r="H50" s="15"/>
      <x:c r="I50" s="15"/>
      <x:c r="J50" s="15"/>
      <x:c r="K50" s="15"/>
      <x:c r="L50" s="15"/>
      <x:c r="M50" s="15"/>
      <x:c r="N50" s="15"/>
      <x:c r="O50" s="15"/>
      <x:c r="R50" s="15"/>
    </x:row>
  </x:sheetData>
  <x:mergeCells>
    <x:mergeCell ref="A1:R1"/>
    <x:mergeCell ref="A2:R2"/>
  </x:mergeCells>
  <x:conditionalFormatting sqref="H5:H47">
    <x:cfRule type="containsText" dxfId="0" priority="1" operator="containsText" text="Yes"/>
  </x:conditionalFormatting>
  <x:conditionalFormatting sqref="L5:L47">
    <x:cfRule type="containsText" dxfId="1" priority="2" operator="containsText" text="Complete"/>
  </x:conditionalFormatting>
  <x:dataValidations count="4">
    <x:dataValidation type="list" sqref="F5:F47">
      <x:formula1>"Same,Adapted,Limited,Not Available,Foundation Only,Full Only,Needs Review"</x:formula1>
    </x:dataValidation>
    <x:dataValidation type="list" sqref="H5:H47">
      <x:formula1>"No,Yes,Review,TBD"</x:formula1>
    </x:dataValidation>
    <x:dataValidation type="list" sqref="J5:J47">
      <x:formula1>"Critical,High,Medium,Low"</x:formula1>
    </x:dataValidation>
    <x:dataValidation type="list" sqref="L5:L47">
      <x:formula1>"Not Started,In Review,In Progress,Complete,Planned,Backlog,Blocked"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2e601490fc49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5" hidden="0" customWidth="1"/>
    <x:col min="4" max="4" width="31" hidden="0" customWidth="1"/>
    <x:col min="5" max="5" width="24" hidden="0" customWidth="1"/>
    <x:col min="6" max="6" width="32" hidden="0" customWidth="1"/>
    <x:col min="7" max="7" width="32" hidden="0" customWidth="1"/>
    <x:col min="8" max="8" width="22" hidden="0" customWidth="1"/>
    <x:col min="9" max="9" width="15" hidden="0" customWidth="1"/>
    <x:col min="10" max="10" width="14" hidden="0" customWidth="1"/>
    <x:col min="11" max="11" width="36" hidden="0" customWidth="1"/>
    <x:col min="12" max="12" width="16" hidden="0" customWidth="1"/>
    <x:col min="13" max="13" width="15" hidden="0" customWidth="1"/>
    <x:col min="14" max="14" width="14" hidden="0" customWidth="1"/>
  </x:cols>
  <x:sheetData>
    <x:row r="1" ht="30" customHeight="1">
      <x:c r="A1" s="3" t="str">
        <x:v>Page and Navigation Crosswalk</x:v>
      </x:c>
    </x:row>
    <x:row r="2" ht="34" customHeight="1">
      <x:c r="A2" s="7" t="str">
        <x:v>Maps every major route to a shared template type, edition-specific content scope, access difference, and release action.</x:v>
      </x:c>
    </x:row>
    <x:row r="4" ht="34" customHeight="1">
      <x:c r="A4" s="38" t="str">
        <x:v>Page ID</x:v>
      </x:c>
      <x:c r="B4" s="38" t="str">
        <x:v>Navigation / Page</x:v>
      </x:c>
      <x:c r="C4" s="38" t="str">
        <x:v>Full Version Route</x:v>
      </x:c>
      <x:c r="D4" s="38" t="str">
        <x:v>Foundation Route</x:v>
      </x:c>
      <x:c r="E4" s="38" t="str">
        <x:v>Shared Template Type</x:v>
      </x:c>
      <x:c r="F4" s="38" t="str">
        <x:v>Full Content Scope</x:v>
      </x:c>
      <x:c r="G4" s="38" t="str">
        <x:v>Foundation Content Scope</x:v>
      </x:c>
      <x:c r="H4" s="38" t="str">
        <x:v>Access Difference</x:v>
      </x:c>
      <x:c r="I4" s="38" t="str">
        <x:v>Parity Status</x:v>
      </x:c>
      <x:c r="J4" s="38" t="str">
        <x:v>Change Needed</x:v>
      </x:c>
      <x:c r="K4" s="38" t="str">
        <x:v>Change Notes</x:v>
      </x:c>
      <x:c r="L4" s="38" t="str">
        <x:v>Target Version</x:v>
      </x:c>
      <x:c r="M4" s="38" t="str">
        <x:v>Work Status</x:v>
      </x:c>
      <x:c r="N4" s="38" t="str">
        <x:v>Last Reviewed</x:v>
      </x:c>
    </x:row>
    <x:row r="5">
      <x:c r="A5" s="46" t="str">
        <x:v>PAGE-001</x:v>
      </x:c>
      <x:c r="B5" s="46" t="str">
        <x:v>Start Here / Homepage</x:v>
      </x:c>
      <x:c r="C5" s="46" t="str">
        <x:v>#/</x:v>
      </x:c>
      <x:c r="D5" s="46" t="str">
        <x:v>mvp/index.html</x:v>
      </x:c>
      <x:c r="E5" s="46" t="str">
        <x:v>Homepage hero + panel system</x:v>
      </x:c>
      <x:c r="F5" s="46" t="str">
        <x:v>Full system overview and entry points</x:v>
      </x:c>
      <x:c r="G5" s="46" t="str">
        <x:v>Foundation positioning, edition comparison, 13 plays/tools/modules</x:v>
      </x:c>
      <x:c r="H5" s="46" t="str">
        <x:v>Public in both</x:v>
      </x:c>
      <x:c r="I5" s="46" t="str">
        <x:v>Adapted</x:v>
      </x:c>
      <x:c r="J5" s="49" t="str">
        <x:v>Yes</x:v>
      </x:c>
      <x:c r="K5" s="49" t="str">
        <x:v>Finish shared-template regression review</x:v>
      </x:c>
      <x:c r="L5" s="55" t="str">
        <x:v>1.0</x:v>
      </x:c>
      <x:c r="M5" s="49" t="str">
        <x:v>In Progress</x:v>
      </x:c>
      <x:c r="N5" s="52" t="n">
        <x:v>46255.666666666664</x:v>
      </x:c>
    </x:row>
    <x:row r="6">
      <x:c r="A6" s="47" t="str">
        <x:v>PAGE-002</x:v>
      </x:c>
      <x:c r="B6" s="47" t="str">
        <x:v>Learn</x:v>
      </x:c>
      <x:c r="C6" s="47" t="str">
        <x:v>#/learn</x:v>
      </x:c>
      <x:c r="D6" s="47" t="str">
        <x:v>mvp/learning.html</x:v>
      </x:c>
      <x:c r="E6" s="47" t="str">
        <x:v>Catalog + filter + card grid</x:v>
      </x:c>
      <x:c r="F6" s="47" t="str">
        <x:v>89-module catalog and learning entry points</x:v>
      </x:c>
      <x:c r="G6" s="47" t="str">
        <x:v>9 available modules plus pathways and locked-edition information</x:v>
      </x:c>
      <x:c r="H6" s="47" t="str">
        <x:v>Entitlement differs</x:v>
      </x:c>
      <x:c r="I6" s="47" t="str">
        <x:v>Limited</x:v>
      </x:c>
      <x:c r="J6" s="50" t="str">
        <x:v>Yes</x:v>
      </x:c>
      <x:c r="K6" s="50" t="str">
        <x:v>Shared catalog template with edition filtering</x:v>
      </x:c>
      <x:c r="L6" s="56" t="str">
        <x:v>1.0</x:v>
      </x:c>
      <x:c r="M6" s="50" t="str">
        <x:v>In Progress</x:v>
      </x:c>
      <x:c r="N6" s="53" t="n">
        <x:v>46255.666666666664</x:v>
      </x:c>
    </x:row>
    <x:row r="7">
      <x:c r="A7" s="47" t="str">
        <x:v>PAGE-003</x:v>
      </x:c>
      <x:c r="B7" s="47" t="str">
        <x:v>Learning Pathways</x:v>
      </x:c>
      <x:c r="C7" s="47" t="str">
        <x:v>#/learning-pathways</x:v>
      </x:c>
      <x:c r="D7" s="47" t="str">
        <x:v>mvp/training-paths.html</x:v>
      </x:c>
      <x:c r="E7" s="47" t="str">
        <x:v>Pathway catalog</x:v>
      </x:c>
      <x:c r="F7" s="47" t="str">
        <x:v>Role-based and functional pathways with accessible modules</x:v>
      </x:c>
      <x:c r="G7" s="47" t="str">
        <x:v>Same pathway descriptions; locked modules marked</x:v>
      </x:c>
      <x:c r="H7" s="47" t="str">
        <x:v>Entitlement differs</x:v>
      </x:c>
      <x:c r="I7" s="47" t="str">
        <x:v>Adapted</x:v>
      </x:c>
      <x:c r="J7" s="50" t="str">
        <x:v>Review</x:v>
      </x:c>
      <x:c r="K7" s="50" t="str">
        <x:v>Keep canonical sequence</x:v>
      </x:c>
      <x:c r="L7" s="56" t="str">
        <x:v>1.0</x:v>
      </x:c>
      <x:c r="M7" s="50" t="str">
        <x:v>In Review</x:v>
      </x:c>
      <x:c r="N7" s="53" t="n">
        <x:v>46255.666666666664</x:v>
      </x:c>
    </x:row>
    <x:row r="8">
      <x:c r="A8" s="47" t="str">
        <x:v>PAGE-004</x:v>
      </x:c>
      <x:c r="B8" s="47" t="str">
        <x:v>Personalized Learning Assessment</x:v>
      </x:c>
      <x:c r="C8" s="47" t="str">
        <x:v>#/learning-assessment</x:v>
      </x:c>
      <x:c r="D8" s="47" t="str">
        <x:v>mvp/learning-assessment.html</x:v>
      </x:c>
      <x:c r="E8" s="47" t="str">
        <x:v>Assessment + results</x:v>
      </x:c>
      <x:c r="F8" s="47" t="str">
        <x:v>Role-scaled questions and all recommendations</x:v>
      </x:c>
      <x:c r="G8" s="47" t="str">
        <x:v>Same assessment; access labels reflect Foundation</x:v>
      </x:c>
      <x:c r="H8" s="47" t="str">
        <x:v>Free account required in Foundation</x:v>
      </x:c>
      <x:c r="I8" s="47" t="str">
        <x:v>Adapted</x:v>
      </x:c>
      <x:c r="J8" s="50" t="str">
        <x:v>Yes</x:v>
      </x:c>
      <x:c r="K8" s="50" t="str">
        <x:v>Production persistence required</x:v>
      </x:c>
      <x:c r="L8" s="56" t="str">
        <x:v>1.0</x:v>
      </x:c>
      <x:c r="M8" s="50" t="str">
        <x:v>In Progress</x:v>
      </x:c>
      <x:c r="N8" s="53" t="n">
        <x:v>46255.666666666664</x:v>
      </x:c>
    </x:row>
    <x:row r="9">
      <x:c r="A9" s="47" t="str">
        <x:v>PAGE-005</x:v>
      </x:c>
      <x:c r="B9" s="47" t="str">
        <x:v>Learning Module Detail</x:v>
      </x:c>
      <x:c r="C9" s="47" t="str">
        <x:v>#/learn/{module-id}</x:v>
      </x:c>
      <x:c r="D9" s="47" t="str">
        <x:v>mvp/module.html?id={module-id}</x:v>
      </x:c>
      <x:c r="E9" s="47" t="str">
        <x:v>Module detail</x:v>
      </x:c>
      <x:c r="F9" s="47" t="str">
        <x:v>All entitled modules</x:v>
      </x:c>
      <x:c r="G9" s="47" t="str">
        <x:v>Foundation modules; other editions unavailable</x:v>
      </x:c>
      <x:c r="H9" s="47" t="str">
        <x:v>Entitlement differs</x:v>
      </x:c>
      <x:c r="I9" s="47" t="str">
        <x:v>Adapted</x:v>
      </x:c>
      <x:c r="J9" s="50" t="str">
        <x:v>Yes</x:v>
      </x:c>
      <x:c r="K9" s="50" t="str">
        <x:v>Use shared module template</x:v>
      </x:c>
      <x:c r="L9" s="56" t="str">
        <x:v>1.0</x:v>
      </x:c>
      <x:c r="M9" s="50" t="str">
        <x:v>In Progress</x:v>
      </x:c>
      <x:c r="N9" s="53" t="n">
        <x:v>46255.666666666664</x:v>
      </x:c>
    </x:row>
    <x:row r="10">
      <x:c r="A10" s="47" t="str">
        <x:v>PAGE-006</x:v>
      </x:c>
      <x:c r="B10" s="47" t="str">
        <x:v>Assess</x:v>
      </x:c>
      <x:c r="C10" s="47" t="str">
        <x:v>#/assess</x:v>
      </x:c>
      <x:c r="D10" s="47" t="str">
        <x:v>mvp/assess.html</x:v>
      </x:c>
      <x:c r="E10" s="47" t="str">
        <x:v>Assessment + pathway results</x:v>
      </x:c>
      <x:c r="F10" s="47" t="str">
        <x:v>Full recommendations and tools</x:v>
      </x:c>
      <x:c r="G10" s="47" t="str">
        <x:v>Foundation recommendations and tools</x:v>
      </x:c>
      <x:c r="H10" s="47" t="str">
        <x:v>Free account required in Foundation</x:v>
      </x:c>
      <x:c r="I10" s="47" t="str">
        <x:v>Adapted</x:v>
      </x:c>
      <x:c r="J10" s="50" t="str">
        <x:v>Review</x:v>
      </x:c>
      <x:c r="K10" s="50" t="str">
        <x:v>Verify ordering and Play 2 logic</x:v>
      </x:c>
      <x:c r="L10" s="56" t="str">
        <x:v>1.0</x:v>
      </x:c>
      <x:c r="M10" s="50" t="str">
        <x:v>In Review</x:v>
      </x:c>
      <x:c r="N10" s="53" t="n">
        <x:v>46255.666666666664</x:v>
      </x:c>
    </x:row>
    <x:row r="11">
      <x:c r="A11" s="47" t="str">
        <x:v>PAGE-007</x:v>
      </x:c>
      <x:c r="B11" s="47" t="str">
        <x:v>Maturity Model</x:v>
      </x:c>
      <x:c r="C11" s="47" t="str">
        <x:v>#/maturity</x:v>
      </x:c>
      <x:c r="D11" s="47" t="str">
        <x:v>mvp/foundation-page.html?view=maturity</x:v>
      </x:c>
      <x:c r="E11" s="47" t="str">
        <x:v>Maturity model</x:v>
      </x:c>
      <x:c r="F11" s="47" t="str">
        <x:v>Canonical model and links</x:v>
      </x:c>
      <x:c r="G11" s="47" t="str">
        <x:v>Same model; Foundation-local links</x:v>
      </x:c>
      <x:c r="H11" s="47" t="str">
        <x:v>Public in both</x:v>
      </x:c>
      <x:c r="I11" s="47" t="str">
        <x:v>Adapted</x:v>
      </x:c>
      <x:c r="J11" s="50" t="str">
        <x:v>No</x:v>
      </x:c>
      <x:c r="K11" s="50" t="str">
        <x:v>Maintain shared renderer</x:v>
      </x:c>
      <x:c r="L11" s="56" t="str">
        <x:v>0.9</x:v>
      </x:c>
      <x:c r="M11" s="50" t="str">
        <x:v>Complete</x:v>
      </x:c>
      <x:c r="N11" s="53" t="n">
        <x:v>46255.666666666664</x:v>
      </x:c>
    </x:row>
    <x:row r="12">
      <x:c r="A12" s="47" t="str">
        <x:v>PAGE-008</x:v>
      </x:c>
      <x:c r="B12" s="47" t="str">
        <x:v>Plays</x:v>
      </x:c>
      <x:c r="C12" s="47" t="str">
        <x:v>#/plays</x:v>
      </x:c>
      <x:c r="D12" s="47" t="str">
        <x:v>mvp/plays.html</x:v>
      </x:c>
      <x:c r="E12" s="47" t="str">
        <x:v>Play catalog</x:v>
      </x:c>
      <x:c r="F12" s="47" t="str">
        <x:v>13 full play summaries</x:v>
      </x:c>
      <x:c r="G12" s="47" t="str">
        <x:v>13 bounded play summaries</x:v>
      </x:c>
      <x:c r="H12" s="47" t="str">
        <x:v>Public in both</x:v>
      </x:c>
      <x:c r="I12" s="47" t="str">
        <x:v>Adapted</x:v>
      </x:c>
      <x:c r="J12" s="50" t="str">
        <x:v>Review</x:v>
      </x:c>
      <x:c r="K12" s="50" t="str">
        <x:v>Keep sequence and titles aligned</x:v>
      </x:c>
      <x:c r="L12" s="56" t="str">
        <x:v>1.0</x:v>
      </x:c>
      <x:c r="M12" s="50" t="str">
        <x:v>In Progress</x:v>
      </x:c>
      <x:c r="N12" s="53" t="n">
        <x:v>46255.666666666664</x:v>
      </x:c>
    </x:row>
    <x:row r="13">
      <x:c r="A13" s="47" t="str">
        <x:v>PAGE-009</x:v>
      </x:c>
      <x:c r="B13" s="47" t="str">
        <x:v>Play Detail</x:v>
      </x:c>
      <x:c r="C13" s="47" t="str">
        <x:v>#/plays/{id}</x:v>
      </x:c>
      <x:c r="D13" s="47" t="str">
        <x:v>mvp/detail.html?play={id}</x:v>
      </x:c>
      <x:c r="E13" s="47" t="str">
        <x:v>Play detail</x:v>
      </x:c>
      <x:c r="F13" s="47" t="str">
        <x:v>Complete relationships and implementation guidance</x:v>
      </x:c>
      <x:c r="G13" s="47" t="str">
        <x:v>Public subset plus Foundation Tool</x:v>
      </x:c>
      <x:c r="H13" s="47" t="str">
        <x:v>Public in both</x:v>
      </x:c>
      <x:c r="I13" s="47" t="str">
        <x:v>Adapted</x:v>
      </x:c>
      <x:c r="J13" s="50" t="str">
        <x:v>Yes</x:v>
      </x:c>
      <x:c r="K13" s="50" t="str">
        <x:v>Use shared detail template</x:v>
      </x:c>
      <x:c r="L13" s="56" t="str">
        <x:v>1.0</x:v>
      </x:c>
      <x:c r="M13" s="50" t="str">
        <x:v>In Progress</x:v>
      </x:c>
      <x:c r="N13" s="53" t="n">
        <x:v>46255.666666666664</x:v>
      </x:c>
    </x:row>
    <x:row r="14">
      <x:c r="A14" s="47" t="str">
        <x:v>PAGE-010</x:v>
      </x:c>
      <x:c r="B14" s="47" t="str">
        <x:v>Toolkit</x:v>
      </x:c>
      <x:c r="C14" s="47" t="str">
        <x:v>#/toolkit</x:v>
      </x:c>
      <x:c r="D14" s="47" t="str">
        <x:v>mvp/toolkit.html</x:v>
      </x:c>
      <x:c r="E14" s="47" t="str">
        <x:v>Tool catalog</x:v>
      </x:c>
      <x:c r="F14" s="47" t="str">
        <x:v>49 tools</x:v>
      </x:c>
      <x:c r="G14" s="47" t="str">
        <x:v>13 tools</x:v>
      </x:c>
      <x:c r="H14" s="47" t="str">
        <x:v>Foundation download requires account</x:v>
      </x:c>
      <x:c r="I14" s="47" t="str">
        <x:v>Limited</x:v>
      </x:c>
      <x:c r="J14" s="50" t="str">
        <x:v>No</x:v>
      </x:c>
      <x:c r="K14" s="50" t="str">
        <x:v>Maintain explicit mapping</x:v>
      </x:c>
      <x:c r="L14" s="56" t="str">
        <x:v>0.9</x:v>
      </x:c>
      <x:c r="M14" s="50" t="str">
        <x:v>Complete</x:v>
      </x:c>
      <x:c r="N14" s="53" t="n">
        <x:v>46255.666666666664</x:v>
      </x:c>
    </x:row>
    <x:row r="15">
      <x:c r="A15" s="47" t="str">
        <x:v>PAGE-011</x:v>
      </x:c>
      <x:c r="B15" s="47" t="str">
        <x:v>Tool Detail</x:v>
      </x:c>
      <x:c r="C15" s="47" t="str">
        <x:v>#/toolkit/{id}</x:v>
      </x:c>
      <x:c r="D15" s="47" t="str">
        <x:v>mvp/tool.html?play={id}</x:v>
      </x:c>
      <x:c r="E15" s="47" t="str">
        <x:v>Guided tool</x:v>
      </x:c>
      <x:c r="F15" s="47" t="str">
        <x:v>Advanced guided Full tool</x:v>
      </x:c>
      <x:c r="G15" s="47" t="str">
        <x:v>Simpler Foundation Tool</x:v>
      </x:c>
      <x:c r="H15" s="47" t="str">
        <x:v>Entitlement and depth differ</x:v>
      </x:c>
      <x:c r="I15" s="47" t="str">
        <x:v>Limited</x:v>
      </x:c>
      <x:c r="J15" s="50" t="str">
        <x:v>Review</x:v>
      </x:c>
      <x:c r="K15" s="50" t="str">
        <x:v>Standardize common shell and intro</x:v>
      </x:c>
      <x:c r="L15" s="56" t="str">
        <x:v>1.0</x:v>
      </x:c>
      <x:c r="M15" s="50" t="str">
        <x:v>In Review</x:v>
      </x:c>
      <x:c r="N15" s="53" t="n">
        <x:v>46255.666666666664</x:v>
      </x:c>
    </x:row>
    <x:row r="16">
      <x:c r="A16" s="47" t="str">
        <x:v>PAGE-012</x:v>
      </x:c>
      <x:c r="B16" s="47" t="str">
        <x:v>Case Studies</x:v>
      </x:c>
      <x:c r="C16" s="47" t="str">
        <x:v>#/cases</x:v>
      </x:c>
      <x:c r="D16" s="47" t="str">
        <x:v>mvp/foundation-page.html?view=cases</x:v>
      </x:c>
      <x:c r="E16" s="47" t="str">
        <x:v>Case study catalog</x:v>
      </x:c>
      <x:c r="F16" s="47" t="str">
        <x:v>Full cases and project summaries</x:v>
      </x:c>
      <x:c r="G16" s="47" t="str">
        <x:v>Appropriate public summaries</x:v>
      </x:c>
      <x:c r="H16" s="47" t="str">
        <x:v>Public in both</x:v>
      </x:c>
      <x:c r="I16" s="47" t="str">
        <x:v>Limited</x:v>
      </x:c>
      <x:c r="J16" s="50" t="str">
        <x:v>Review</x:v>
      </x:c>
      <x:c r="K16" s="50" t="str">
        <x:v>Cross-check canonical facts</x:v>
      </x:c>
      <x:c r="L16" s="56" t="str">
        <x:v>1.0</x:v>
      </x:c>
      <x:c r="M16" s="50" t="str">
        <x:v>In Progress</x:v>
      </x:c>
      <x:c r="N16" s="53" t="n">
        <x:v>46255.666666666664</x:v>
      </x:c>
    </x:row>
    <x:row r="17">
      <x:c r="A17" s="47" t="str">
        <x:v>PAGE-013</x:v>
      </x:c>
      <x:c r="B17" s="47" t="str">
        <x:v>My Account</x:v>
      </x:c>
      <x:c r="C17" s="47" t="str">
        <x:v>#/member</x:v>
      </x:c>
      <x:c r="D17" s="47" t="str">
        <x:v>mvp/account.html</x:v>
      </x:c>
      <x:c r="E17" s="47" t="str">
        <x:v>Account dashboard</x:v>
      </x:c>
      <x:c r="F17" s="47" t="str">
        <x:v>Administrative individual view plus saved work</x:v>
      </x:c>
      <x:c r="G17" s="47" t="str">
        <x:v>Simple free-member dashboard</x:v>
      </x:c>
      <x:c r="H17" s="47" t="str">
        <x:v>Foundation is individual-only</x:v>
      </x:c>
      <x:c r="I17" s="47" t="str">
        <x:v>Adapted</x:v>
      </x:c>
      <x:c r="J17" s="50" t="str">
        <x:v>Yes</x:v>
      </x:c>
      <x:c r="K17" s="50" t="str">
        <x:v>Clarify administrator view and simplify</x:v>
      </x:c>
      <x:c r="L17" s="56" t="str">
        <x:v>1.0</x:v>
      </x:c>
      <x:c r="M17" s="50" t="str">
        <x:v>In Progress</x:v>
      </x:c>
      <x:c r="N17" s="53" t="n">
        <x:v>46255.666666666664</x:v>
      </x:c>
    </x:row>
    <x:row r="18">
      <x:c r="A18" s="47" t="str">
        <x:v>PAGE-014</x:v>
      </x:c>
      <x:c r="B18" s="47" t="str">
        <x:v>Organization Hub</x:v>
      </x:c>
      <x:c r="C18" s="47" t="str">
        <x:v>#/organization</x:v>
      </x:c>
      <x:c r="D18" s="47" t="str">
        <x:v>Not available</x:v>
      </x:c>
      <x:c r="E18" s="47" t="str">
        <x:v>Organization workspace</x:v>
      </x:c>
      <x:c r="F18" s="47" t="str">
        <x:v>Admin, users, workplan, learning, metrics</x:v>
      </x:c>
      <x:c r="G18" s="47" t="str">
        <x:v>Not available</x:v>
      </x:c>
      <x:c r="H18" s="47" t="str">
        <x:v>Organization membership only</x:v>
      </x:c>
      <x:c r="I18" s="47" t="str">
        <x:v>Not Available</x:v>
      </x:c>
      <x:c r="J18" s="50" t="str">
        <x:v>No</x:v>
      </x:c>
      <x:c r="K18" s="50" t="str">
        <x:v>List as future edition benefit</x:v>
      </x:c>
      <x:c r="L18" s="56" t="str">
        <x:v>Org 1.0</x:v>
      </x:c>
      <x:c r="M18" s="50" t="str">
        <x:v>Planned</x:v>
      </x:c>
      <x:c r="N18" s="53" t="n">
        <x:v>46255.666666666664</x:v>
      </x:c>
    </x:row>
    <x:row r="19">
      <x:c r="A19" s="47" t="str">
        <x:v>PAGE-015</x:v>
      </x:c>
      <x:c r="B19" s="47" t="str">
        <x:v>Community</x:v>
      </x:c>
      <x:c r="C19" s="47" t="str">
        <x:v>#/community</x:v>
      </x:c>
      <x:c r="D19" s="47" t="str">
        <x:v>mvp/foundation-page.html?view=community</x:v>
      </x:c>
      <x:c r="E19" s="47" t="str">
        <x:v>Community page</x:v>
      </x:c>
      <x:c r="F19" s="47" t="str">
        <x:v>Community content and member pathways</x:v>
      </x:c>
      <x:c r="G19" s="47" t="str">
        <x:v>Same public community content</x:v>
      </x:c>
      <x:c r="H19" s="47" t="str">
        <x:v>Interactive access may differ</x:v>
      </x:c>
      <x:c r="I19" s="47" t="str">
        <x:v>Adapted</x:v>
      </x:c>
      <x:c r="J19" s="50" t="str">
        <x:v>Yes</x:v>
      </x:c>
      <x:c r="K19" s="50" t="str">
        <x:v>Remove edition marketing from this page</x:v>
      </x:c>
      <x:c r="L19" s="56" t="str">
        <x:v>1.0</x:v>
      </x:c>
      <x:c r="M19" s="50" t="str">
        <x:v>In Progress</x:v>
      </x:c>
      <x:c r="N19" s="53" t="n">
        <x:v>46255.666666666664</x:v>
      </x:c>
    </x:row>
    <x:row r="20">
      <x:c r="A20" s="47" t="str">
        <x:v>PAGE-016</x:v>
      </x:c>
      <x:c r="B20" s="47" t="str">
        <x:v>Contribute / Review</x:v>
      </x:c>
      <x:c r="C20" s="47" t="str">
        <x:v>#/contribute</x:v>
      </x:c>
      <x:c r="D20" s="47" t="str">
        <x:v>mvp/feedback.html and reviewer.html</x:v>
      </x:c>
      <x:c r="E20" s="47" t="str">
        <x:v>Contribution + reviewer forms</x:v>
      </x:c>
      <x:c r="F20" s="47" t="str">
        <x:v>Feedback, corrections, reviewer application</x:v>
      </x:c>
      <x:c r="G20" s="47" t="str">
        <x:v>Same; free account prerequisite for reviewers</x:v>
      </x:c>
      <x:c r="H20" s="47" t="str">
        <x:v>Foundation membership differs</x:v>
      </x:c>
      <x:c r="I20" s="47" t="str">
        <x:v>Adapted</x:v>
      </x:c>
      <x:c r="J20" s="50" t="str">
        <x:v>Yes</x:v>
      </x:c>
      <x:c r="K20" s="50" t="str">
        <x:v>No tool contribution solicitation</x:v>
      </x:c>
      <x:c r="L20" s="56" t="str">
        <x:v>1.0</x:v>
      </x:c>
      <x:c r="M20" s="50" t="str">
        <x:v>In Progress</x:v>
      </x:c>
      <x:c r="N20" s="53" t="n">
        <x:v>46255.666666666664</x:v>
      </x:c>
    </x:row>
    <x:row r="21">
      <x:c r="A21" s="47" t="str">
        <x:v>PAGE-017</x:v>
      </x:c>
      <x:c r="B21" s="47" t="str">
        <x:v>Contact Us</x:v>
      </x:c>
      <x:c r="C21" s="47" t="str">
        <x:v>#/contact</x:v>
      </x:c>
      <x:c r="D21" s="47" t="str">
        <x:v>mvp/foundation-page.html?view=contact</x:v>
      </x:c>
      <x:c r="E21" s="47" t="str">
        <x:v>Contact form</x:v>
      </x:c>
      <x:c r="F21" s="47" t="str">
        <x:v>Contact and support</x:v>
      </x:c>
      <x:c r="G21" s="47" t="str">
        <x:v>Same</x:v>
      </x:c>
      <x:c r="H21" s="47" t="str">
        <x:v>Public in both</x:v>
      </x:c>
      <x:c r="I21" s="47" t="str">
        <x:v>Same</x:v>
      </x:c>
      <x:c r="J21" s="50" t="str">
        <x:v>Yes</x:v>
      </x:c>
      <x:c r="K21" s="50" t="str">
        <x:v>Connect approved form service</x:v>
      </x:c>
      <x:c r="L21" s="56" t="str">
        <x:v>1.0</x:v>
      </x:c>
      <x:c r="M21" s="50" t="str">
        <x:v>Planned</x:v>
      </x:c>
      <x:c r="N21" s="53" t="n">
        <x:v>46255.666666666664</x:v>
      </x:c>
    </x:row>
    <x:row r="22">
      <x:c r="A22" s="47" t="str">
        <x:v>PAGE-018</x:v>
      </x:c>
      <x:c r="B22" s="47" t="str">
        <x:v>Resources</x:v>
      </x:c>
      <x:c r="C22" s="47" t="str">
        <x:v>#/references</x:v>
      </x:c>
      <x:c r="D22" s="47" t="str">
        <x:v>mvp/resources.html</x:v>
      </x:c>
      <x:c r="E22" s="47" t="str">
        <x:v>Resource catalog</x:v>
      </x:c>
      <x:c r="F22" s="47" t="str">
        <x:v>Full source library</x:v>
      </x:c>
      <x:c r="G22" s="47" t="str">
        <x:v>Foundational subset</x:v>
      </x:c>
      <x:c r="H22" s="47" t="str">
        <x:v>Public in both</x:v>
      </x:c>
      <x:c r="I22" s="47" t="str">
        <x:v>Adapted</x:v>
      </x:c>
      <x:c r="J22" s="50" t="str">
        <x:v>Review</x:v>
      </x:c>
      <x:c r="K22" s="50" t="str">
        <x:v>Common provenance and review metadata</x:v>
      </x:c>
      <x:c r="L22" s="56" t="str">
        <x:v>1.0</x:v>
      </x:c>
      <x:c r="M22" s="50" t="str">
        <x:v>In Progress</x:v>
      </x:c>
      <x:c r="N22" s="53" t="n">
        <x:v>46255.666666666664</x:v>
      </x:c>
    </x:row>
    <x:row r="23">
      <x:c r="A23" s="47" t="str">
        <x:v>PAGE-019</x:v>
      </x:c>
      <x:c r="B23" s="47" t="str">
        <x:v>In the News</x:v>
      </x:c>
      <x:c r="C23" s="47" t="str">
        <x:v>#/news</x:v>
      </x:c>
      <x:c r="D23" s="47" t="str">
        <x:v>mvp/foundation-page.html?view=news</x:v>
      </x:c>
      <x:c r="E23" s="47" t="str">
        <x:v>News feed</x:v>
      </x:c>
      <x:c r="F23" s="47" t="str">
        <x:v>Shared curated feed</x:v>
      </x:c>
      <x:c r="G23" s="47" t="str">
        <x:v>Shared curated feed</x:v>
      </x:c>
      <x:c r="H23" s="47" t="str">
        <x:v>Public in both</x:v>
      </x:c>
      <x:c r="I23" s="47" t="str">
        <x:v>Same</x:v>
      </x:c>
      <x:c r="J23" s="50" t="str">
        <x:v>Review</x:v>
      </x:c>
      <x:c r="K23" s="50" t="str">
        <x:v>Automated ingestion still needs production service</x:v>
      </x:c>
      <x:c r="L23" s="56" t="str">
        <x:v>1.0</x:v>
      </x:c>
      <x:c r="M23" s="50" t="str">
        <x:v>In Progress</x:v>
      </x:c>
      <x:c r="N23" s="53" t="n">
        <x:v>46255.666666666664</x:v>
      </x:c>
    </x:row>
    <x:row r="24">
      <x:c r="A24" s="48" t="str">
        <x:v>PAGE-020</x:v>
      </x:c>
      <x:c r="B24" s="48" t="str">
        <x:v>Need More Help?</x:v>
      </x:c>
      <x:c r="C24" s="48" t="str">
        <x:v>#/consulting</x:v>
      </x:c>
      <x:c r="D24" s="48" t="str">
        <x:v>mvp/consulting.html</x:v>
      </x:c>
      <x:c r="E24" s="48" t="str">
        <x:v>Consulting offerings</x:v>
      </x:c>
      <x:c r="F24" s="48" t="str">
        <x:v>Business-plan offerings</x:v>
      </x:c>
      <x:c r="G24" s="48" t="str">
        <x:v>Same</x:v>
      </x:c>
      <x:c r="H24" s="48" t="str">
        <x:v>Public in both</x:v>
      </x:c>
      <x:c r="I24" s="48" t="str">
        <x:v>Same</x:v>
      </x:c>
      <x:c r="J24" s="51" t="str">
        <x:v>No</x:v>
      </x:c>
      <x:c r="K24" s="51" t="str">
        <x:v>Keep content synchronized</x:v>
      </x:c>
      <x:c r="L24" s="57" t="str">
        <x:v>0.9</x:v>
      </x:c>
      <x:c r="M24" s="51" t="str">
        <x:v>Complete</x:v>
      </x:c>
      <x:c r="N24" s="54" t="n">
        <x:v>46255.666666666664</x:v>
      </x:c>
    </x:row>
    <x:row r="25">
      <x:c r="J25" s="15"/>
      <x:c r="K25" s="15"/>
      <x:c r="L25" s="15"/>
      <x:c r="M25" s="15"/>
      <x:c r="N25" s="15"/>
    </x:row>
    <x:row r="26">
      <x:c r="J26" s="15"/>
      <x:c r="K26" s="15"/>
      <x:c r="L26" s="15"/>
      <x:c r="M26" s="15"/>
      <x:c r="N26" s="15"/>
    </x:row>
    <x:row r="27">
      <x:c r="J27" s="15"/>
      <x:c r="K27" s="15"/>
      <x:c r="L27" s="15"/>
      <x:c r="M27" s="15"/>
      <x:c r="N27" s="15"/>
    </x:row>
    <x:row r="28">
      <x:c r="J28" s="15"/>
      <x:c r="K28" s="15"/>
      <x:c r="L28" s="15"/>
      <x:c r="M28" s="15"/>
      <x:c r="N28" s="15"/>
    </x:row>
    <x:row r="29">
      <x:c r="J29" s="15"/>
      <x:c r="K29" s="15"/>
      <x:c r="L29" s="15"/>
      <x:c r="M29" s="15"/>
      <x:c r="N29" s="15"/>
    </x:row>
    <x:row r="30">
      <x:c r="J30" s="15"/>
      <x:c r="K30" s="15"/>
      <x:c r="L30" s="15"/>
      <x:c r="M30" s="15"/>
      <x:c r="N30" s="15"/>
    </x:row>
    <x:row r="31">
      <x:c r="J31" s="15"/>
      <x:c r="K31" s="15"/>
      <x:c r="L31" s="15"/>
      <x:c r="M31" s="15"/>
      <x:c r="N31" s="15"/>
    </x:row>
    <x:row r="32">
      <x:c r="J32" s="15"/>
      <x:c r="K32" s="15"/>
      <x:c r="L32" s="15"/>
      <x:c r="M32" s="15"/>
      <x:c r="N32" s="15"/>
    </x:row>
    <x:row r="33">
      <x:c r="J33" s="15"/>
      <x:c r="K33" s="15"/>
      <x:c r="L33" s="15"/>
      <x:c r="M33" s="15"/>
      <x:c r="N33" s="15"/>
    </x:row>
    <x:row r="34">
      <x:c r="J34" s="15"/>
      <x:c r="K34" s="15"/>
      <x:c r="L34" s="15"/>
      <x:c r="M34" s="15"/>
      <x:c r="N34" s="15"/>
    </x:row>
    <x:row r="35">
      <x:c r="J35" s="15"/>
      <x:c r="K35" s="15"/>
      <x:c r="L35" s="15"/>
      <x:c r="M35" s="15"/>
      <x:c r="N35" s="15"/>
    </x:row>
    <x:row r="36">
      <x:c r="J36" s="15"/>
      <x:c r="K36" s="15"/>
      <x:c r="L36" s="15"/>
      <x:c r="M36" s="15"/>
      <x:c r="N36" s="15"/>
    </x:row>
    <x:row r="37">
      <x:c r="J37" s="15"/>
      <x:c r="K37" s="15"/>
      <x:c r="L37" s="15"/>
      <x:c r="M37" s="15"/>
      <x:c r="N37" s="15"/>
    </x:row>
    <x:row r="38">
      <x:c r="J38" s="15"/>
      <x:c r="K38" s="15"/>
      <x:c r="L38" s="15"/>
      <x:c r="M38" s="15"/>
      <x:c r="N38" s="15"/>
    </x:row>
    <x:row r="39">
      <x:c r="J39" s="15"/>
      <x:c r="K39" s="15"/>
      <x:c r="L39" s="15"/>
      <x:c r="M39" s="15"/>
      <x:c r="N39" s="15"/>
    </x:row>
    <x:row r="40">
      <x:c r="J40" s="15"/>
      <x:c r="K40" s="15"/>
      <x:c r="L40" s="15"/>
      <x:c r="M40" s="15"/>
      <x:c r="N40" s="15"/>
    </x:row>
    <x:row r="41">
      <x:c r="J41" s="15"/>
      <x:c r="K41" s="15"/>
      <x:c r="L41" s="15"/>
      <x:c r="M41" s="15"/>
      <x:c r="N41" s="15"/>
    </x:row>
    <x:row r="42">
      <x:c r="J42" s="15"/>
      <x:c r="K42" s="15"/>
      <x:c r="L42" s="15"/>
      <x:c r="M42" s="15"/>
      <x:c r="N42" s="15"/>
    </x:row>
    <x:row r="43">
      <x:c r="J43" s="15"/>
      <x:c r="K43" s="15"/>
      <x:c r="L43" s="15"/>
      <x:c r="M43" s="15"/>
      <x:c r="N43" s="15"/>
    </x:row>
    <x:row r="44">
      <x:c r="J44" s="15"/>
      <x:c r="K44" s="15"/>
      <x:c r="L44" s="15"/>
      <x:c r="M44" s="15"/>
      <x:c r="N44" s="15"/>
    </x:row>
    <x:row r="45">
      <x:c r="J45" s="15"/>
      <x:c r="K45" s="15"/>
      <x:c r="L45" s="15"/>
      <x:c r="M45" s="15"/>
      <x:c r="N45" s="15"/>
    </x:row>
    <x:row r="46">
      <x:c r="J46" s="15"/>
      <x:c r="K46" s="15"/>
      <x:c r="L46" s="15"/>
      <x:c r="M46" s="15"/>
      <x:c r="N46" s="15"/>
    </x:row>
    <x:row r="47">
      <x:c r="J47" s="15"/>
      <x:c r="K47" s="15"/>
      <x:c r="L47" s="15"/>
      <x:c r="M47" s="15"/>
      <x:c r="N47" s="15"/>
    </x:row>
    <x:row r="48">
      <x:c r="J48" s="15"/>
      <x:c r="K48" s="15"/>
      <x:c r="L48" s="15"/>
      <x:c r="M48" s="15"/>
      <x:c r="N48" s="15"/>
    </x:row>
    <x:row r="49">
      <x:c r="J49" s="15"/>
      <x:c r="K49" s="15"/>
      <x:c r="L49" s="15"/>
      <x:c r="M49" s="15"/>
      <x:c r="N49" s="15"/>
    </x:row>
    <x:row r="50">
      <x:c r="J50" s="15"/>
      <x:c r="K50" s="15"/>
      <x:c r="L50" s="15"/>
      <x:c r="M50" s="15"/>
      <x:c r="N50" s="15"/>
    </x:row>
  </x:sheetData>
  <x:mergeCells>
    <x:mergeCell ref="A1:N1"/>
    <x:mergeCell ref="A2:N2"/>
  </x:mergeCells>
  <x:dataValidations count="3">
    <x:dataValidation type="list" sqref="I5:I24">
      <x:formula1>"Same,Adapted,Limited,Not Available,Needs Review"</x:formula1>
    </x:dataValidation>
    <x:dataValidation type="list" sqref="J5:J24">
      <x:formula1>"No,Yes,Review,TBD"</x:formula1>
    </x:dataValidation>
    <x:dataValidation type="list" sqref="M5:M24">
      <x:formula1>"Not Started,In Review,In Progress,Complete,Planned,Backlog,Blocked"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bf6a187bcc4e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0" hidden="0" customWidth="1"/>
    <x:col min="4" max="4" width="46" hidden="0" customWidth="1"/>
    <x:col min="5" max="5" width="25" hidden="0" customWidth="1"/>
    <x:col min="6" max="6" width="24" hidden="0" customWidth="1"/>
    <x:col min="7" max="7" width="38" hidden="0" customWidth="1"/>
    <x:col min="8" max="8" width="20" hidden="0" customWidth="1"/>
  </x:cols>
  <x:sheetData>
    <x:row r="1" ht="30" customHeight="1">
      <x:c r="A1" s="3" t="str">
        <x:v>Canonical Content and Edition Availability</x:v>
      </x:c>
    </x:row>
    <x:row r="2" ht="34" customHeight="1">
      <x:c r="A2" s="7" t="str">
        <x:v>Stable IDs for plays, tools, and the Foundation learning subset. The canonical Full catalog remains the source of truth for all detailed module records.</x:v>
      </x:c>
    </x:row>
    <x:row r="4" ht="34" customHeight="1">
      <x:c r="A4" s="38" t="str">
        <x:v>Stable ID</x:v>
      </x:c>
      <x:c r="B4" s="38" t="str">
        <x:v>Content Type</x:v>
      </x:c>
      <x:c r="C4" s="38" t="str">
        <x:v>Canonical Number / Code</x:v>
      </x:c>
      <x:c r="D4" s="38" t="str">
        <x:v>Canonical Title</x:v>
      </x:c>
      <x:c r="E4" s="38" t="str">
        <x:v>Full Version Availability</x:v>
      </x:c>
      <x:c r="F4" s="38" t="str">
        <x:v>Foundation Availability</x:v>
      </x:c>
      <x:c r="G4" s="38" t="str">
        <x:v>Foundation Mapping / Notes</x:v>
      </x:c>
      <x:c r="H4" s="38" t="str">
        <x:v>Target / Release Version</x:v>
      </x:c>
    </x:row>
    <x:row r="5">
      <x:c r="A5" s="46" t="str">
        <x:v>PLAY-01</x:v>
      </x:c>
      <x:c r="B5" s="46" t="str">
        <x:v>Play</x:v>
      </x:c>
      <x:c r="C5" s="46" t="n">
        <x:v>1</x:v>
      </x:c>
      <x:c r="D5" s="46" t="str">
        <x:v>Vision &amp; Guardrails</x:v>
      </x:c>
      <x:c r="E5" s="46" t="str">
        <x:v>Available — full guidance</x:v>
      </x:c>
      <x:c r="F5" s="49" t="str">
        <x:v>Available — bounded public guidance</x:v>
      </x:c>
      <x:c r="G5" s="49" t="str">
        <x:v>Plan phase; same canonical title and sequence</x:v>
      </x:c>
      <x:c r="H5" s="55" t="str">
        <x:v>0.9</x:v>
      </x:c>
    </x:row>
    <x:row r="6">
      <x:c r="A6" s="47" t="str">
        <x:v>PLAY-02</x:v>
      </x:c>
      <x:c r="B6" s="47" t="str">
        <x:v>Play</x:v>
      </x:c>
      <x:c r="C6" s="47" t="n">
        <x:v>2</x:v>
      </x:c>
      <x:c r="D6" s="47" t="str">
        <x:v>Validate Readiness and Plan Improvements</x:v>
      </x:c>
      <x:c r="E6" s="47" t="str">
        <x:v>Available — full guidance</x:v>
      </x:c>
      <x:c r="F6" s="50" t="str">
        <x:v>Available — bounded public guidance</x:v>
      </x:c>
      <x:c r="G6" s="50" t="str">
        <x:v>Plan phase; same canonical title and sequence</x:v>
      </x:c>
      <x:c r="H6" s="56" t="str">
        <x:v>0.9</x:v>
      </x:c>
    </x:row>
    <x:row r="7">
      <x:c r="A7" s="47" t="str">
        <x:v>PLAY-03</x:v>
      </x:c>
      <x:c r="B7" s="47" t="str">
        <x:v>Play</x:v>
      </x:c>
      <x:c r="C7" s="47" t="n">
        <x:v>3</x:v>
      </x:c>
      <x:c r="D7" s="47" t="str">
        <x:v>Establish AI Governance</x:v>
      </x:c>
      <x:c r="E7" s="47" t="str">
        <x:v>Available — full guidance</x:v>
      </x:c>
      <x:c r="F7" s="50" t="str">
        <x:v>Available — bounded public guidance</x:v>
      </x:c>
      <x:c r="G7" s="50" t="str">
        <x:v>Plan phase; same canonical title and sequence</x:v>
      </x:c>
      <x:c r="H7" s="56" t="str">
        <x:v>0.9</x:v>
      </x:c>
    </x:row>
    <x:row r="8">
      <x:c r="A8" s="47" t="str">
        <x:v>PLAY-04</x:v>
      </x:c>
      <x:c r="B8" s="47" t="str">
        <x:v>Play</x:v>
      </x:c>
      <x:c r="C8" s="47" t="n">
        <x:v>4</x:v>
      </x:c>
      <x:c r="D8" s="47" t="str">
        <x:v>Engage Stakeholders</x:v>
      </x:c>
      <x:c r="E8" s="47" t="str">
        <x:v>Available — full guidance</x:v>
      </x:c>
      <x:c r="F8" s="50" t="str">
        <x:v>Available — bounded public guidance</x:v>
      </x:c>
      <x:c r="G8" s="50" t="str">
        <x:v>Plan phase; same canonical title and sequence</x:v>
      </x:c>
      <x:c r="H8" s="56" t="str">
        <x:v>0.9</x:v>
      </x:c>
    </x:row>
    <x:row r="9">
      <x:c r="A9" s="47" t="str">
        <x:v>PLAY-05</x:v>
      </x:c>
      <x:c r="B9" s="47" t="str">
        <x:v>Play</x:v>
      </x:c>
      <x:c r="C9" s="47" t="n">
        <x:v>5</x:v>
      </x:c>
      <x:c r="D9" s="47" t="str">
        <x:v>Workforce Development</x:v>
      </x:c>
      <x:c r="E9" s="47" t="str">
        <x:v>Available — full guidance</x:v>
      </x:c>
      <x:c r="F9" s="50" t="str">
        <x:v>Available — bounded public guidance</x:v>
      </x:c>
      <x:c r="G9" s="50" t="str">
        <x:v>Plan phase; same canonical title and sequence</x:v>
      </x:c>
      <x:c r="H9" s="56" t="str">
        <x:v>0.9</x:v>
      </x:c>
    </x:row>
    <x:row r="10">
      <x:c r="A10" s="47" t="str">
        <x:v>PLAY-06</x:v>
      </x:c>
      <x:c r="B10" s="47" t="str">
        <x:v>Play</x:v>
      </x:c>
      <x:c r="C10" s="47" t="n">
        <x:v>6</x:v>
      </x:c>
      <x:c r="D10" s="47" t="str">
        <x:v>Plan Change Management</x:v>
      </x:c>
      <x:c r="E10" s="47" t="str">
        <x:v>Available — full guidance</x:v>
      </x:c>
      <x:c r="F10" s="50" t="str">
        <x:v>Available — bounded public guidance</x:v>
      </x:c>
      <x:c r="G10" s="50" t="str">
        <x:v>Plan phase; same canonical title and sequence</x:v>
      </x:c>
      <x:c r="H10" s="56" t="str">
        <x:v>0.9</x:v>
      </x:c>
    </x:row>
    <x:row r="11">
      <x:c r="A11" s="47" t="str">
        <x:v>PLAY-07</x:v>
      </x:c>
      <x:c r="B11" s="47" t="str">
        <x:v>Play</x:v>
      </x:c>
      <x:c r="C11" s="47" t="n">
        <x:v>7</x:v>
      </x:c>
      <x:c r="D11" s="47" t="str">
        <x:v>Prioritize Use Cases</x:v>
      </x:c>
      <x:c r="E11" s="47" t="str">
        <x:v>Available — full guidance</x:v>
      </x:c>
      <x:c r="F11" s="50" t="str">
        <x:v>Available — bounded public guidance</x:v>
      </x:c>
      <x:c r="G11" s="50" t="str">
        <x:v>Plan phase; same canonical title and sequence</x:v>
      </x:c>
      <x:c r="H11" s="56" t="str">
        <x:v>0.9</x:v>
      </x:c>
    </x:row>
    <x:row r="12">
      <x:c r="A12" s="47" t="str">
        <x:v>PLAY-08</x:v>
      </x:c>
      <x:c r="B12" s="47" t="str">
        <x:v>Play</x:v>
      </x:c>
      <x:c r="C12" s="47" t="n">
        <x:v>8</x:v>
      </x:c>
      <x:c r="D12" s="47" t="str">
        <x:v>Develop a Funding Strategy</x:v>
      </x:c>
      <x:c r="E12" s="47" t="str">
        <x:v>Available — full guidance</x:v>
      </x:c>
      <x:c r="F12" s="50" t="str">
        <x:v>Available — bounded public guidance</x:v>
      </x:c>
      <x:c r="G12" s="50" t="str">
        <x:v>Build phase; same canonical title and sequence</x:v>
      </x:c>
      <x:c r="H12" s="56" t="str">
        <x:v>0.9</x:v>
      </x:c>
    </x:row>
    <x:row r="13">
      <x:c r="A13" s="47" t="str">
        <x:v>PLAY-09</x:v>
      </x:c>
      <x:c r="B13" s="47" t="str">
        <x:v>Play</x:v>
      </x:c>
      <x:c r="C13" s="47" t="n">
        <x:v>9</x:v>
      </x:c>
      <x:c r="D13" s="47" t="str">
        <x:v>Develop the AI Implementation Plan</x:v>
      </x:c>
      <x:c r="E13" s="47" t="str">
        <x:v>Available — full guidance</x:v>
      </x:c>
      <x:c r="F13" s="50" t="str">
        <x:v>Available — bounded public guidance</x:v>
      </x:c>
      <x:c r="G13" s="50" t="str">
        <x:v>Build phase; same canonical title and sequence</x:v>
      </x:c>
      <x:c r="H13" s="56" t="str">
        <x:v>0.9</x:v>
      </x:c>
    </x:row>
    <x:row r="14">
      <x:c r="A14" s="47" t="str">
        <x:v>PLAY-10</x:v>
      </x:c>
      <x:c r="B14" s="47" t="str">
        <x:v>Play</x:v>
      </x:c>
      <x:c r="C14" s="47" t="n">
        <x:v>10</x:v>
      </x:c>
      <x:c r="D14" s="47" t="str">
        <x:v>Execute Change Management</x:v>
      </x:c>
      <x:c r="E14" s="47" t="str">
        <x:v>Available — full guidance</x:v>
      </x:c>
      <x:c r="F14" s="50" t="str">
        <x:v>Available — bounded public guidance</x:v>
      </x:c>
      <x:c r="G14" s="50" t="str">
        <x:v>Deploy phase; same canonical title and sequence</x:v>
      </x:c>
      <x:c r="H14" s="56" t="str">
        <x:v>0.9</x:v>
      </x:c>
    </x:row>
    <x:row r="15">
      <x:c r="A15" s="47" t="str">
        <x:v>PLAY-11</x:v>
      </x:c>
      <x:c r="B15" s="47" t="str">
        <x:v>Play</x:v>
      </x:c>
      <x:c r="C15" s="47" t="n">
        <x:v>11</x:v>
      </x:c>
      <x:c r="D15" s="47" t="str">
        <x:v>Build and Deploy AI Solutions</x:v>
      </x:c>
      <x:c r="E15" s="47" t="str">
        <x:v>Available — full guidance</x:v>
      </x:c>
      <x:c r="F15" s="50" t="str">
        <x:v>Available — bounded public guidance</x:v>
      </x:c>
      <x:c r="G15" s="50" t="str">
        <x:v>Deploy phase; same canonical title and sequence</x:v>
      </x:c>
      <x:c r="H15" s="56" t="str">
        <x:v>0.9</x:v>
      </x:c>
    </x:row>
    <x:row r="16">
      <x:c r="A16" s="47" t="str">
        <x:v>PLAY-12</x:v>
      </x:c>
      <x:c r="B16" s="47" t="str">
        <x:v>Play</x:v>
      </x:c>
      <x:c r="C16" s="47" t="n">
        <x:v>12</x:v>
      </x:c>
      <x:c r="D16" s="47" t="str">
        <x:v>Execute Governance and Oversight</x:v>
      </x:c>
      <x:c r="E16" s="47" t="str">
        <x:v>Available — full guidance</x:v>
      </x:c>
      <x:c r="F16" s="50" t="str">
        <x:v>Available — bounded public guidance</x:v>
      </x:c>
      <x:c r="G16" s="50" t="str">
        <x:v>Govern phase; same canonical title and sequence</x:v>
      </x:c>
      <x:c r="H16" s="56" t="str">
        <x:v>0.9</x:v>
      </x:c>
    </x:row>
    <x:row r="17">
      <x:c r="A17" s="47" t="str">
        <x:v>PLAY-13</x:v>
      </x:c>
      <x:c r="B17" s="47" t="str">
        <x:v>Play</x:v>
      </x:c>
      <x:c r="C17" s="47" t="n">
        <x:v>13</x:v>
      </x:c>
      <x:c r="D17" s="47" t="str">
        <x:v>Monitor, Evaluate, and Improve</x:v>
      </x:c>
      <x:c r="E17" s="47" t="str">
        <x:v>Available — full guidance</x:v>
      </x:c>
      <x:c r="F17" s="50" t="str">
        <x:v>Available — bounded public guidance</x:v>
      </x:c>
      <x:c r="G17" s="50" t="str">
        <x:v>Govern phase; same canonical title and sequence</x:v>
      </x:c>
      <x:c r="H17" s="56" t="str">
        <x:v>0.9</x:v>
      </x:c>
    </x:row>
    <x:row r="18">
      <x:c r="A18" s="47" t="str">
        <x:v>TOOL-01</x:v>
      </x:c>
      <x:c r="B18" s="47" t="str">
        <x:v>Tool</x:v>
      </x:c>
      <x:c r="C18" s="47" t="n">
        <x:v>1</x:v>
      </x:c>
      <x:c r="D18" s="47" t="str">
        <x:v>AI Vision &amp; Principles Workshop</x:v>
      </x:c>
      <x:c r="E18" s="47" t="str">
        <x:v>Available</x:v>
      </x:c>
      <x:c r="F18" s="50" t="str">
        <x:v>Available</x:v>
      </x:c>
      <x:c r="G18" s="50" t="str">
        <x:v>Foundation Tool for Play 1</x:v>
      </x:c>
      <x:c r="H18" s="56" t="str">
        <x:v>0.9</x:v>
      </x:c>
    </x:row>
    <x:row r="19">
      <x:c r="A19" s="47" t="str">
        <x:v>TOOL-02</x:v>
      </x:c>
      <x:c r="B19" s="47" t="str">
        <x:v>Tool</x:v>
      </x:c>
      <x:c r="C19" s="47" t="n">
        <x:v>2</x:v>
      </x:c>
      <x:c r="D19" s="47" t="str">
        <x:v>Responsible AI Policy Template</x:v>
      </x:c>
      <x:c r="E19" s="47" t="str">
        <x:v>Available</x:v>
      </x:c>
      <x:c r="F19" s="50" t="str">
        <x:v>Not available</x:v>
      </x:c>
      <x:c r="G19" s="50" t="str">
        <x:v>Robust editions</x:v>
      </x:c>
      <x:c r="H19" s="56" t="str">
        <x:v>Robust edition</x:v>
      </x:c>
    </x:row>
    <x:row r="20">
      <x:c r="A20" s="47" t="str">
        <x:v>TOOL-03</x:v>
      </x:c>
      <x:c r="B20" s="47" t="str">
        <x:v>Tool</x:v>
      </x:c>
      <x:c r="C20" s="47" t="n">
        <x:v>3</x:v>
      </x:c>
      <x:c r="D20" s="47" t="str">
        <x:v>Equity Impact Assessment Checklist</x:v>
      </x:c>
      <x:c r="E20" s="47" t="str">
        <x:v>Available</x:v>
      </x:c>
      <x:c r="F20" s="50" t="str">
        <x:v>Not available</x:v>
      </x:c>
      <x:c r="G20" s="50" t="str">
        <x:v>Robust editions</x:v>
      </x:c>
      <x:c r="H20" s="56" t="str">
        <x:v>Robust edition</x:v>
      </x:c>
    </x:row>
    <x:row r="21">
      <x:c r="A21" s="47" t="str">
        <x:v>TOOL-04</x:v>
      </x:c>
      <x:c r="B21" s="47" t="str">
        <x:v>Tool</x:v>
      </x:c>
      <x:c r="C21" s="47" t="n">
        <x:v>4</x:v>
      </x:c>
      <x:c r="D21" s="47" t="str">
        <x:v>AI Policy Landscape Scan</x:v>
      </x:c>
      <x:c r="E21" s="47" t="str">
        <x:v>Available</x:v>
      </x:c>
      <x:c r="F21" s="50" t="str">
        <x:v>Not available</x:v>
      </x:c>
      <x:c r="G21" s="50" t="str">
        <x:v>Robust editions</x:v>
      </x:c>
      <x:c r="H21" s="56" t="str">
        <x:v>Robust edition</x:v>
      </x:c>
    </x:row>
    <x:row r="22">
      <x:c r="A22" s="47" t="str">
        <x:v>TOOL-05</x:v>
      </x:c>
      <x:c r="B22" s="47" t="str">
        <x:v>Tool</x:v>
      </x:c>
      <x:c r="C22" s="47" t="n">
        <x:v>5</x:v>
      </x:c>
      <x:c r="D22" s="47" t="str">
        <x:v>AI Environmental and Resource Impact Review</x:v>
      </x:c>
      <x:c r="E22" s="47" t="str">
        <x:v>Available</x:v>
      </x:c>
      <x:c r="F22" s="50" t="str">
        <x:v>Not available</x:v>
      </x:c>
      <x:c r="G22" s="50" t="str">
        <x:v>Robust editions</x:v>
      </x:c>
      <x:c r="H22" s="56" t="str">
        <x:v>Robust edition</x:v>
      </x:c>
    </x:row>
    <x:row r="23">
      <x:c r="A23" s="47" t="str">
        <x:v>TOOL-06</x:v>
      </x:c>
      <x:c r="B23" s="47" t="str">
        <x:v>Tool</x:v>
      </x:c>
      <x:c r="C23" s="47" t="n">
        <x:v>6</x:v>
      </x:c>
      <x:c r="D23" s="47" t="str">
        <x:v>Human-Centered AI Decision Rule Checklist</x:v>
      </x:c>
      <x:c r="E23" s="47" t="str">
        <x:v>Available</x:v>
      </x:c>
      <x:c r="F23" s="50" t="str">
        <x:v>Not available</x:v>
      </x:c>
      <x:c r="G23" s="50" t="str">
        <x:v>Robust editions</x:v>
      </x:c>
      <x:c r="H23" s="56" t="str">
        <x:v>Robust edition</x:v>
      </x:c>
    </x:row>
    <x:row r="24">
      <x:c r="A24" s="47" t="str">
        <x:v>TOOL-07</x:v>
      </x:c>
      <x:c r="B24" s="47" t="str">
        <x:v>Tool</x:v>
      </x:c>
      <x:c r="C24" s="47" t="n">
        <x:v>7</x:v>
      </x:c>
      <x:c r="D24" s="47" t="str">
        <x:v>Readiness Findings Validation &amp; Improvement Plan</x:v>
      </x:c>
      <x:c r="E24" s="47" t="str">
        <x:v>Available</x:v>
      </x:c>
      <x:c r="F24" s="50" t="str">
        <x:v>Available</x:v>
      </x:c>
      <x:c r="G24" s="50" t="str">
        <x:v>Foundation Tool for Play 2</x:v>
      </x:c>
      <x:c r="H24" s="56" t="str">
        <x:v>0.9</x:v>
      </x:c>
    </x:row>
    <x:row r="25">
      <x:c r="A25" s="47" t="str">
        <x:v>TOOL-08</x:v>
      </x:c>
      <x:c r="B25" s="47" t="str">
        <x:v>Tool</x:v>
      </x:c>
      <x:c r="C25" s="47" t="n">
        <x:v>8</x:v>
      </x:c>
      <x:c r="D25" s="47" t="str">
        <x:v>AI Project Charter</x:v>
      </x:c>
      <x:c r="E25" s="47" t="str">
        <x:v>Available</x:v>
      </x:c>
      <x:c r="F25" s="50" t="str">
        <x:v>Not available</x:v>
      </x:c>
      <x:c r="G25" s="50" t="str">
        <x:v>Robust editions</x:v>
      </x:c>
      <x:c r="H25" s="56" t="str">
        <x:v>Robust edition</x:v>
      </x:c>
    </x:row>
    <x:row r="26">
      <x:c r="A26" s="47" t="str">
        <x:v>TOOL-09</x:v>
      </x:c>
      <x:c r="B26" s="47" t="str">
        <x:v>Tool</x:v>
      </x:c>
      <x:c r="C26" s="47" t="n">
        <x:v>9</x:v>
      </x:c>
      <x:c r="D26" s="47" t="str">
        <x:v>Data Quality Assessment Checklist</x:v>
      </x:c>
      <x:c r="E26" s="47" t="str">
        <x:v>Available</x:v>
      </x:c>
      <x:c r="F26" s="50" t="str">
        <x:v>Not available</x:v>
      </x:c>
      <x:c r="G26" s="50" t="str">
        <x:v>Robust editions</x:v>
      </x:c>
      <x:c r="H26" s="56" t="str">
        <x:v>Robust edition</x:v>
      </x:c>
    </x:row>
    <x:row r="27">
      <x:c r="A27" s="47" t="str">
        <x:v>TOOL-10</x:v>
      </x:c>
      <x:c r="B27" s="47" t="str">
        <x:v>Tool</x:v>
      </x:c>
      <x:c r="C27" s="47" t="n">
        <x:v>10</x:v>
      </x:c>
      <x:c r="D27" s="47" t="str">
        <x:v>Health Data Privacy, HIPAA Applicability &amp; Tiered Data Use Screening</x:v>
      </x:c>
      <x:c r="E27" s="47" t="str">
        <x:v>Available</x:v>
      </x:c>
      <x:c r="F27" s="50" t="str">
        <x:v>Not available</x:v>
      </x:c>
      <x:c r="G27" s="50" t="str">
        <x:v>Robust editions</x:v>
      </x:c>
      <x:c r="H27" s="56" t="str">
        <x:v>Robust edition</x:v>
      </x:c>
    </x:row>
    <x:row r="28">
      <x:c r="A28" s="47" t="str">
        <x:v>TOOL-11</x:v>
      </x:c>
      <x:c r="B28" s="47" t="str">
        <x:v>Tool</x:v>
      </x:c>
      <x:c r="C28" s="47" t="n">
        <x:v>11</x:v>
      </x:c>
      <x:c r="D28" s="47" t="str">
        <x:v>AI Advisory Committee Charter</x:v>
      </x:c>
      <x:c r="E28" s="47" t="str">
        <x:v>Available</x:v>
      </x:c>
      <x:c r="F28" s="50" t="str">
        <x:v>Available</x:v>
      </x:c>
      <x:c r="G28" s="50" t="str">
        <x:v>Foundation Tool for Play 3</x:v>
      </x:c>
      <x:c r="H28" s="56" t="str">
        <x:v>0.9</x:v>
      </x:c>
    </x:row>
    <x:row r="29">
      <x:c r="A29" s="47" t="str">
        <x:v>TOOL-12</x:v>
      </x:c>
      <x:c r="B29" s="47" t="str">
        <x:v>Tool</x:v>
      </x:c>
      <x:c r="C29" s="47" t="n">
        <x:v>12</x:v>
      </x:c>
      <x:c r="D29" s="47" t="str">
        <x:v>AI Governance Board Charter</x:v>
      </x:c>
      <x:c r="E29" s="47" t="str">
        <x:v>Available</x:v>
      </x:c>
      <x:c r="F29" s="50" t="str">
        <x:v>Not available</x:v>
      </x:c>
      <x:c r="G29" s="50" t="str">
        <x:v>Robust editions</x:v>
      </x:c>
      <x:c r="H29" s="56" t="str">
        <x:v>Robust edition</x:v>
      </x:c>
    </x:row>
    <x:row r="30">
      <x:c r="A30" s="47" t="str">
        <x:v>TOOL-13</x:v>
      </x:c>
      <x:c r="B30" s="47" t="str">
        <x:v>Tool</x:v>
      </x:c>
      <x:c r="C30" s="47" t="n">
        <x:v>13</x:v>
      </x:c>
      <x:c r="D30" s="47" t="str">
        <x:v>AI Use Case Intake, Risk Review, and System Inventory Template</x:v>
      </x:c>
      <x:c r="E30" s="47" t="str">
        <x:v>Available</x:v>
      </x:c>
      <x:c r="F30" s="50" t="str">
        <x:v>Not available</x:v>
      </x:c>
      <x:c r="G30" s="50" t="str">
        <x:v>Robust editions</x:v>
      </x:c>
      <x:c r="H30" s="56" t="str">
        <x:v>Robust edition</x:v>
      </x:c>
    </x:row>
    <x:row r="31">
      <x:c r="A31" s="47" t="str">
        <x:v>TOOL-14</x:v>
      </x:c>
      <x:c r="B31" s="47" t="str">
        <x:v>Tool</x:v>
      </x:c>
      <x:c r="C31" s="47" t="n">
        <x:v>14</x:v>
      </x:c>
      <x:c r="D31" s="47" t="str">
        <x:v>Model Validation &amp; Documentation Standards</x:v>
      </x:c>
      <x:c r="E31" s="47" t="str">
        <x:v>Available</x:v>
      </x:c>
      <x:c r="F31" s="50" t="str">
        <x:v>Not available</x:v>
      </x:c>
      <x:c r="G31" s="50" t="str">
        <x:v>Robust editions</x:v>
      </x:c>
      <x:c r="H31" s="56" t="str">
        <x:v>Robust edition</x:v>
      </x:c>
    </x:row>
    <x:row r="32">
      <x:c r="A32" s="47" t="str">
        <x:v>TOOL-15</x:v>
      </x:c>
      <x:c r="B32" s="47" t="str">
        <x:v>Tool</x:v>
      </x:c>
      <x:c r="C32" s="47" t="n">
        <x:v>15</x:v>
      </x:c>
      <x:c r="D32" s="47" t="str">
        <x:v>Data Use Agreement (AI) Template</x:v>
      </x:c>
      <x:c r="E32" s="47" t="str">
        <x:v>Available</x:v>
      </x:c>
      <x:c r="F32" s="50" t="str">
        <x:v>Not available</x:v>
      </x:c>
      <x:c r="G32" s="50" t="str">
        <x:v>Robust editions</x:v>
      </x:c>
      <x:c r="H32" s="56" t="str">
        <x:v>Robust edition</x:v>
      </x:c>
    </x:row>
    <x:row r="33">
      <x:c r="A33" s="47" t="str">
        <x:v>TOOL-16</x:v>
      </x:c>
      <x:c r="B33" s="47" t="str">
        <x:v>Tool</x:v>
      </x:c>
      <x:c r="C33" s="47" t="n">
        <x:v>16</x:v>
      </x:c>
      <x:c r="D33" s="47" t="str">
        <x:v>Incident Response Checklist</x:v>
      </x:c>
      <x:c r="E33" s="47" t="str">
        <x:v>Available</x:v>
      </x:c>
      <x:c r="F33" s="50" t="str">
        <x:v>Not available</x:v>
      </x:c>
      <x:c r="G33" s="50" t="str">
        <x:v>Robust editions</x:v>
      </x:c>
      <x:c r="H33" s="56" t="str">
        <x:v>Robust edition</x:v>
      </x:c>
    </x:row>
    <x:row r="34">
      <x:c r="A34" s="47" t="str">
        <x:v>TOOL-17</x:v>
      </x:c>
      <x:c r="B34" s="47" t="str">
        <x:v>Tool</x:v>
      </x:c>
      <x:c r="C34" s="47" t="n">
        <x:v>17</x:v>
      </x:c>
      <x:c r="D34" s="47" t="str">
        <x:v>Compliance Audit Checklist</x:v>
      </x:c>
      <x:c r="E34" s="47" t="str">
        <x:v>Available</x:v>
      </x:c>
      <x:c r="F34" s="50" t="str">
        <x:v>Not available</x:v>
      </x:c>
      <x:c r="G34" s="50" t="str">
        <x:v>Robust editions</x:v>
      </x:c>
      <x:c r="H34" s="56" t="str">
        <x:v>Robust edition</x:v>
      </x:c>
    </x:row>
    <x:row r="35">
      <x:c r="A35" s="47" t="str">
        <x:v>TOOL-18</x:v>
      </x:c>
      <x:c r="B35" s="47" t="str">
        <x:v>Tool</x:v>
      </x:c>
      <x:c r="C35" s="47" t="n">
        <x:v>18</x:v>
      </x:c>
      <x:c r="D35" s="47" t="str">
        <x:v>Policy Update &amp; Version Control Log</x:v>
      </x:c>
      <x:c r="E35" s="47" t="str">
        <x:v>Available</x:v>
      </x:c>
      <x:c r="F35" s="50" t="str">
        <x:v>Not available</x:v>
      </x:c>
      <x:c r="G35" s="50" t="str">
        <x:v>Robust editions</x:v>
      </x:c>
      <x:c r="H35" s="56" t="str">
        <x:v>Robust edition</x:v>
      </x:c>
    </x:row>
    <x:row r="36">
      <x:c r="A36" s="47" t="str">
        <x:v>TOOL-19</x:v>
      </x:c>
      <x:c r="B36" s="47" t="str">
        <x:v>Tool</x:v>
      </x:c>
      <x:c r="C36" s="47" t="n">
        <x:v>19</x:v>
      </x:c>
      <x:c r="D36" s="47" t="str">
        <x:v>Plain-Language AI Public Notice Template</x:v>
      </x:c>
      <x:c r="E36" s="47" t="str">
        <x:v>Available</x:v>
      </x:c>
      <x:c r="F36" s="50" t="str">
        <x:v>Not available</x:v>
      </x:c>
      <x:c r="G36" s="50" t="str">
        <x:v>Robust editions</x:v>
      </x:c>
      <x:c r="H36" s="56" t="str">
        <x:v>Robust edition</x:v>
      </x:c>
    </x:row>
    <x:row r="37">
      <x:c r="A37" s="47" t="str">
        <x:v>TOOL-20</x:v>
      </x:c>
      <x:c r="B37" s="47" t="str">
        <x:v>Tool</x:v>
      </x:c>
      <x:c r="C37" s="47" t="n">
        <x:v>20</x:v>
      </x:c>
      <x:c r="D37" s="47" t="str">
        <x:v>Community Engagement Planning</x:v>
      </x:c>
      <x:c r="E37" s="47" t="str">
        <x:v>Available</x:v>
      </x:c>
      <x:c r="F37" s="50" t="str">
        <x:v>Not available</x:v>
      </x:c>
      <x:c r="G37" s="50" t="str">
        <x:v>Robust editions</x:v>
      </x:c>
      <x:c r="H37" s="56" t="str">
        <x:v>Robust edition</x:v>
      </x:c>
    </x:row>
    <x:row r="38">
      <x:c r="A38" s="47" t="str">
        <x:v>TOOL-21</x:v>
      </x:c>
      <x:c r="B38" s="47" t="str">
        <x:v>Tool</x:v>
      </x:c>
      <x:c r="C38" s="47" t="n">
        <x:v>21</x:v>
      </x:c>
      <x:c r="D38" s="47" t="str">
        <x:v>Stakeholder Mapping &amp; RACI</x:v>
      </x:c>
      <x:c r="E38" s="47" t="str">
        <x:v>Available</x:v>
      </x:c>
      <x:c r="F38" s="50" t="str">
        <x:v>Available</x:v>
      </x:c>
      <x:c r="G38" s="50" t="str">
        <x:v>Foundation Tool for Play 4</x:v>
      </x:c>
      <x:c r="H38" s="56" t="str">
        <x:v>0.9</x:v>
      </x:c>
    </x:row>
    <x:row r="39">
      <x:c r="A39" s="47" t="str">
        <x:v>TOOL-22</x:v>
      </x:c>
      <x:c r="B39" s="47" t="str">
        <x:v>Tool</x:v>
      </x:c>
      <x:c r="C39" s="47" t="n">
        <x:v>22</x:v>
      </x:c>
      <x:c r="D39" s="47" t="str">
        <x:v>Missing Voices Analysis</x:v>
      </x:c>
      <x:c r="E39" s="47" t="str">
        <x:v>Available</x:v>
      </x:c>
      <x:c r="F39" s="50" t="str">
        <x:v>Not available</x:v>
      </x:c>
      <x:c r="G39" s="50" t="str">
        <x:v>Robust editions</x:v>
      </x:c>
      <x:c r="H39" s="56" t="str">
        <x:v>Robust edition</x:v>
      </x:c>
    </x:row>
    <x:row r="40">
      <x:c r="A40" s="47" t="str">
        <x:v>TOOL-23</x:v>
      </x:c>
      <x:c r="B40" s="47" t="str">
        <x:v>Tool</x:v>
      </x:c>
      <x:c r="C40" s="47" t="n">
        <x:v>23</x:v>
      </x:c>
      <x:c r="D40" s="47" t="str">
        <x:v>Change Management Plan</x:v>
      </x:c>
      <x:c r="E40" s="47" t="str">
        <x:v>Available</x:v>
      </x:c>
      <x:c r="F40" s="50" t="str">
        <x:v>Not available</x:v>
      </x:c>
      <x:c r="G40" s="50" t="str">
        <x:v>Robust editions</x:v>
      </x:c>
      <x:c r="H40" s="56" t="str">
        <x:v>Robust edition</x:v>
      </x:c>
    </x:row>
    <x:row r="41">
      <x:c r="A41" s="47" t="str">
        <x:v>TOOL-24</x:v>
      </x:c>
      <x:c r="B41" s="47" t="str">
        <x:v>Tool</x:v>
      </x:c>
      <x:c r="C41" s="47" t="n">
        <x:v>24</x:v>
      </x:c>
      <x:c r="D41" s="47" t="str">
        <x:v>AI Workforce Competency Framework</x:v>
      </x:c>
      <x:c r="E41" s="47" t="str">
        <x:v>Available</x:v>
      </x:c>
      <x:c r="F41" s="50" t="str">
        <x:v>Not available</x:v>
      </x:c>
      <x:c r="G41" s="50" t="str">
        <x:v>Robust editions</x:v>
      </x:c>
      <x:c r="H41" s="56" t="str">
        <x:v>Robust edition</x:v>
      </x:c>
    </x:row>
    <x:row r="42">
      <x:c r="A42" s="47" t="str">
        <x:v>TOOL-25</x:v>
      </x:c>
      <x:c r="B42" s="47" t="str">
        <x:v>Tool</x:v>
      </x:c>
      <x:c r="C42" s="47" t="n">
        <x:v>25</x:v>
      </x:c>
      <x:c r="D42" s="47" t="str">
        <x:v>AI Champion Designation &amp; Role Guide</x:v>
      </x:c>
      <x:c r="E42" s="47" t="str">
        <x:v>Available</x:v>
      </x:c>
      <x:c r="F42" s="50" t="str">
        <x:v>Available</x:v>
      </x:c>
      <x:c r="G42" s="50" t="str">
        <x:v>Foundation Tool for Play 5</x:v>
      </x:c>
      <x:c r="H42" s="56" t="str">
        <x:v>0.9</x:v>
      </x:c>
    </x:row>
    <x:row r="43">
      <x:c r="A43" s="47" t="str">
        <x:v>TOOL-26</x:v>
      </x:c>
      <x:c r="B43" s="47" t="str">
        <x:v>Tool</x:v>
      </x:c>
      <x:c r="C43" s="47" t="n">
        <x:v>26</x:v>
      </x:c>
      <x:c r="D43" s="47" t="str">
        <x:v>Training Needs Assessment Checklist</x:v>
      </x:c>
      <x:c r="E43" s="47" t="str">
        <x:v>Available</x:v>
      </x:c>
      <x:c r="F43" s="50" t="str">
        <x:v>Not available</x:v>
      </x:c>
      <x:c r="G43" s="50" t="str">
        <x:v>Robust editions</x:v>
      </x:c>
      <x:c r="H43" s="56" t="str">
        <x:v>Robust edition</x:v>
      </x:c>
    </x:row>
    <x:row r="44">
      <x:c r="A44" s="47" t="str">
        <x:v>TOOL-27</x:v>
      </x:c>
      <x:c r="B44" s="47" t="str">
        <x:v>Tool</x:v>
      </x:c>
      <x:c r="C44" s="47" t="n">
        <x:v>27</x:v>
      </x:c>
      <x:c r="D44" s="47" t="str">
        <x:v>AI Bridge Professional Role Guide</x:v>
      </x:c>
      <x:c r="E44" s="47" t="str">
        <x:v>Available</x:v>
      </x:c>
      <x:c r="F44" s="50" t="str">
        <x:v>Not available</x:v>
      </x:c>
      <x:c r="G44" s="50" t="str">
        <x:v>Robust editions</x:v>
      </x:c>
      <x:c r="H44" s="56" t="str">
        <x:v>Robust edition</x:v>
      </x:c>
    </x:row>
    <x:row r="45">
      <x:c r="A45" s="47" t="str">
        <x:v>TOOL-28</x:v>
      </x:c>
      <x:c r="B45" s="47" t="str">
        <x:v>Tool</x:v>
      </x:c>
      <x:c r="C45" s="47" t="n">
        <x:v>28</x:v>
      </x:c>
      <x:c r="D45" s="47" t="str">
        <x:v>Role-Based Training Plan and Completion Tracker</x:v>
      </x:c>
      <x:c r="E45" s="47" t="str">
        <x:v>Available</x:v>
      </x:c>
      <x:c r="F45" s="50" t="str">
        <x:v>Not available</x:v>
      </x:c>
      <x:c r="G45" s="50" t="str">
        <x:v>Robust editions</x:v>
      </x:c>
      <x:c r="H45" s="56" t="str">
        <x:v>Robust edition</x:v>
      </x:c>
    </x:row>
    <x:row r="46">
      <x:c r="A46" s="47" t="str">
        <x:v>TOOL-29</x:v>
      </x:c>
      <x:c r="B46" s="47" t="str">
        <x:v>Tool</x:v>
      </x:c>
      <x:c r="C46" s="47" t="n">
        <x:v>29</x:v>
      </x:c>
      <x:c r="D46" s="47" t="str">
        <x:v>Staff Communication &amp; FAQ Template</x:v>
      </x:c>
      <x:c r="E46" s="47" t="str">
        <x:v>Available</x:v>
      </x:c>
      <x:c r="F46" s="50" t="str">
        <x:v>Available</x:v>
      </x:c>
      <x:c r="G46" s="50" t="str">
        <x:v>Foundation Tool for Play 10</x:v>
      </x:c>
      <x:c r="H46" s="56" t="str">
        <x:v>0.9</x:v>
      </x:c>
    </x:row>
    <x:row r="47">
      <x:c r="A47" s="47" t="str">
        <x:v>TOOL-30</x:v>
      </x:c>
      <x:c r="B47" s="47" t="str">
        <x:v>Tool</x:v>
      </x:c>
      <x:c r="C47" s="47" t="n">
        <x:v>30</x:v>
      </x:c>
      <x:c r="D47" s="47" t="str">
        <x:v>Resistance &amp; Barrier Identification</x:v>
      </x:c>
      <x:c r="E47" s="47" t="str">
        <x:v>Available</x:v>
      </x:c>
      <x:c r="F47" s="50" t="str">
        <x:v>Available</x:v>
      </x:c>
      <x:c r="G47" s="50" t="str">
        <x:v>Foundation Tool for Play 6</x:v>
      </x:c>
      <x:c r="H47" s="56" t="str">
        <x:v>0.9</x:v>
      </x:c>
    </x:row>
    <x:row r="48">
      <x:c r="A48" s="47" t="str">
        <x:v>TOOL-31</x:v>
      </x:c>
      <x:c r="B48" s="47" t="str">
        <x:v>Tool</x:v>
      </x:c>
      <x:c r="C48" s="47" t="n">
        <x:v>31</x:v>
      </x:c>
      <x:c r="D48" s="47" t="str">
        <x:v>Use Case Scoring &amp; Prioritization Matrix</x:v>
      </x:c>
      <x:c r="E48" s="47" t="str">
        <x:v>Available</x:v>
      </x:c>
      <x:c r="F48" s="50" t="str">
        <x:v>Not available</x:v>
      </x:c>
      <x:c r="G48" s="50" t="str">
        <x:v>Robust editions</x:v>
      </x:c>
      <x:c r="H48" s="56" t="str">
        <x:v>Robust edition</x:v>
      </x:c>
    </x:row>
    <x:row r="49">
      <x:c r="A49" s="47" t="str">
        <x:v>TOOL-32</x:v>
      </x:c>
      <x:c r="B49" s="47" t="str">
        <x:v>Tool</x:v>
      </x:c>
      <x:c r="C49" s="47" t="n">
        <x:v>32</x:v>
      </x:c>
      <x:c r="D49" s="47" t="str">
        <x:v>Vendor Evaluation Checklist</x:v>
      </x:c>
      <x:c r="E49" s="47" t="str">
        <x:v>Available</x:v>
      </x:c>
      <x:c r="F49" s="50" t="str">
        <x:v>Not available</x:v>
      </x:c>
      <x:c r="G49" s="50" t="str">
        <x:v>Robust editions</x:v>
      </x:c>
      <x:c r="H49" s="56" t="str">
        <x:v>Robust edition</x:v>
      </x:c>
    </x:row>
    <x:row r="50">
      <x:c r="A50" s="47" t="str">
        <x:v>TOOL-33</x:v>
      </x:c>
      <x:c r="B50" s="47" t="str">
        <x:v>Tool</x:v>
      </x:c>
      <x:c r="C50" s="47" t="n">
        <x:v>33</x:v>
      </x:c>
      <x:c r="D50" s="47" t="str">
        <x:v>Funding Strategy Checklists</x:v>
      </x:c>
      <x:c r="E50" s="47" t="str">
        <x:v>Available</x:v>
      </x:c>
      <x:c r="F50" s="50" t="str">
        <x:v>Not available</x:v>
      </x:c>
      <x:c r="G50" s="50" t="str">
        <x:v>Robust editions</x:v>
      </x:c>
      <x:c r="H50" s="56" t="str">
        <x:v>Robust edition</x:v>
      </x:c>
    </x:row>
    <x:row r="51">
      <x:c r="A51" s="47" t="str">
        <x:v>TOOL-34</x:v>
      </x:c>
      <x:c r="B51" s="47" t="str">
        <x:v>Tool</x:v>
      </x:c>
      <x:c r="C51" s="47" t="n">
        <x:v>34</x:v>
      </x:c>
      <x:c r="D51" s="47" t="str">
        <x:v>STLT AI Procurement and Vendor Addendum</x:v>
      </x:c>
      <x:c r="E51" s="47" t="str">
        <x:v>Available</x:v>
      </x:c>
      <x:c r="F51" s="50" t="str">
        <x:v>Not available</x:v>
      </x:c>
      <x:c r="G51" s="50" t="str">
        <x:v>Robust editions</x:v>
      </x:c>
      <x:c r="H51" s="56" t="str">
        <x:v>Robust edition</x:v>
      </x:c>
    </x:row>
    <x:row r="52">
      <x:c r="A52" s="47" t="str">
        <x:v>TOOL-35</x:v>
      </x:c>
      <x:c r="B52" s="47" t="str">
        <x:v>Tool</x:v>
      </x:c>
      <x:c r="C52" s="47" t="n">
        <x:v>35</x:v>
      </x:c>
      <x:c r="D52" s="47" t="str">
        <x:v>AI Total Cost of Ownership and Sustainability Worksheet</x:v>
      </x:c>
      <x:c r="E52" s="47" t="str">
        <x:v>Available</x:v>
      </x:c>
      <x:c r="F52" s="50" t="str">
        <x:v>Not available</x:v>
      </x:c>
      <x:c r="G52" s="50" t="str">
        <x:v>Robust editions</x:v>
      </x:c>
      <x:c r="H52" s="56" t="str">
        <x:v>Robust edition</x:v>
      </x:c>
    </x:row>
    <x:row r="53">
      <x:c r="A53" s="47" t="str">
        <x:v>TOOL-36</x:v>
      </x:c>
      <x:c r="B53" s="47" t="str">
        <x:v>Tool</x:v>
      </x:c>
      <x:c r="C53" s="47" t="n">
        <x:v>36</x:v>
      </x:c>
      <x:c r="D53" s="47" t="str">
        <x:v>AI Implementation Timeline</x:v>
      </x:c>
      <x:c r="E53" s="47" t="str">
        <x:v>Available</x:v>
      </x:c>
      <x:c r="F53" s="50" t="str">
        <x:v>Available</x:v>
      </x:c>
      <x:c r="G53" s="50" t="str">
        <x:v>Foundation Tool for Play 9</x:v>
      </x:c>
      <x:c r="H53" s="56" t="str">
        <x:v>0.9</x:v>
      </x:c>
    </x:row>
    <x:row r="54">
      <x:c r="A54" s="47" t="str">
        <x:v>TOOL-37</x:v>
      </x:c>
      <x:c r="B54" s="47" t="str">
        <x:v>Tool</x:v>
      </x:c>
      <x:c r="C54" s="47" t="n">
        <x:v>37</x:v>
      </x:c>
      <x:c r="D54" s="47" t="str">
        <x:v>Implementation Plan Dependency and Risk Register</x:v>
      </x:c>
      <x:c r="E54" s="47" t="str">
        <x:v>Available</x:v>
      </x:c>
      <x:c r="F54" s="50" t="str">
        <x:v>Not available</x:v>
      </x:c>
      <x:c r="G54" s="50" t="str">
        <x:v>Robust editions</x:v>
      </x:c>
      <x:c r="H54" s="56" t="str">
        <x:v>Robust edition</x:v>
      </x:c>
    </x:row>
    <x:row r="55">
      <x:c r="A55" s="47" t="str">
        <x:v>TOOL-38</x:v>
      </x:c>
      <x:c r="B55" s="47" t="str">
        <x:v>Tool</x:v>
      </x:c>
      <x:c r="C55" s="47" t="n">
        <x:v>38</x:v>
      </x:c>
      <x:c r="D55" s="47" t="str">
        <x:v>Change Management Execution Dashboard</x:v>
      </x:c>
      <x:c r="E55" s="47" t="str">
        <x:v>Available</x:v>
      </x:c>
      <x:c r="F55" s="50" t="str">
        <x:v>Not available</x:v>
      </x:c>
      <x:c r="G55" s="50" t="str">
        <x:v>Robust editions</x:v>
      </x:c>
      <x:c r="H55" s="56" t="str">
        <x:v>Robust edition</x:v>
      </x:c>
    </x:row>
    <x:row r="56">
      <x:c r="A56" s="47" t="str">
        <x:v>TOOL-39</x:v>
      </x:c>
      <x:c r="B56" s="47" t="str">
        <x:v>Tool</x:v>
      </x:c>
      <x:c r="C56" s="47" t="n">
        <x:v>39</x:v>
      </x:c>
      <x:c r="D56" s="47" t="str">
        <x:v>Technical Infrastructure Readiness Checklist</x:v>
      </x:c>
      <x:c r="E56" s="47" t="str">
        <x:v>Available</x:v>
      </x:c>
      <x:c r="F56" s="50" t="str">
        <x:v>Not available</x:v>
      </x:c>
      <x:c r="G56" s="50" t="str">
        <x:v>Robust editions</x:v>
      </x:c>
      <x:c r="H56" s="56" t="str">
        <x:v>Robust edition</x:v>
      </x:c>
    </x:row>
    <x:row r="57">
      <x:c r="A57" s="47" t="str">
        <x:v>TOOL-40</x:v>
      </x:c>
      <x:c r="B57" s="47" t="str">
        <x:v>Tool</x:v>
      </x:c>
      <x:c r="C57" s="47" t="n">
        <x:v>40</x:v>
      </x:c>
      <x:c r="D57" s="47" t="str">
        <x:v>AI Model Testing &amp; Validation Protocol</x:v>
      </x:c>
      <x:c r="E57" s="47" t="str">
        <x:v>Available</x:v>
      </x:c>
      <x:c r="F57" s="50" t="str">
        <x:v>Not available</x:v>
      </x:c>
      <x:c r="G57" s="50" t="str">
        <x:v>Robust editions</x:v>
      </x:c>
      <x:c r="H57" s="56" t="str">
        <x:v>Robust edition</x:v>
      </x:c>
    </x:row>
    <x:row r="58">
      <x:c r="A58" s="47" t="str">
        <x:v>TOOL-41</x:v>
      </x:c>
      <x:c r="B58" s="47" t="str">
        <x:v>Tool</x:v>
      </x:c>
      <x:c r="C58" s="47" t="n">
        <x:v>41</x:v>
      </x:c>
      <x:c r="D58" s="47" t="str">
        <x:v>AI Pilot Evaluation Dashboard</x:v>
      </x:c>
      <x:c r="E58" s="47" t="str">
        <x:v>Available</x:v>
      </x:c>
      <x:c r="F58" s="50" t="str">
        <x:v>Not available</x:v>
      </x:c>
      <x:c r="G58" s="50" t="str">
        <x:v>Robust editions</x:v>
      </x:c>
      <x:c r="H58" s="56" t="str">
        <x:v>Robust edition</x:v>
      </x:c>
    </x:row>
    <x:row r="59">
      <x:c r="A59" s="47" t="str">
        <x:v>TOOL-42</x:v>
      </x:c>
      <x:c r="B59" s="47" t="str">
        <x:v>Tool</x:v>
      </x:c>
      <x:c r="C59" s="47" t="n">
        <x:v>42</x:v>
      </x:c>
      <x:c r="D59" s="47" t="str">
        <x:v>Pilot-to-Scale Decision Framework</x:v>
      </x:c>
      <x:c r="E59" s="47" t="str">
        <x:v>Available</x:v>
      </x:c>
      <x:c r="F59" s="50" t="str">
        <x:v>Not available</x:v>
      </x:c>
      <x:c r="G59" s="50" t="str">
        <x:v>Robust editions</x:v>
      </x:c>
      <x:c r="H59" s="56" t="str">
        <x:v>Robust edition</x:v>
      </x:c>
    </x:row>
    <x:row r="60">
      <x:c r="A60" s="47" t="str">
        <x:v>TOOL-43</x:v>
      </x:c>
      <x:c r="B60" s="47" t="str">
        <x:v>Tool</x:v>
      </x:c>
      <x:c r="C60" s="47" t="n">
        <x:v>43</x:v>
      </x:c>
      <x:c r="D60" s="47" t="str">
        <x:v>AI Deployment Readiness and Go-Live Checklist</x:v>
      </x:c>
      <x:c r="E60" s="47" t="str">
        <x:v>Available</x:v>
      </x:c>
      <x:c r="F60" s="50" t="str">
        <x:v>Not available</x:v>
      </x:c>
      <x:c r="G60" s="50" t="str">
        <x:v>Robust editions</x:v>
      </x:c>
      <x:c r="H60" s="56" t="str">
        <x:v>Robust edition</x:v>
      </x:c>
    </x:row>
    <x:row r="61">
      <x:c r="A61" s="47" t="str">
        <x:v>TOOL-44</x:v>
      </x:c>
      <x:c r="B61" s="47" t="str">
        <x:v>Tool</x:v>
      </x:c>
      <x:c r="C61" s="47" t="n">
        <x:v>44</x:v>
      </x:c>
      <x:c r="D61" s="47" t="str">
        <x:v>Performance Monitoring Dashboard</x:v>
      </x:c>
      <x:c r="E61" s="47" t="str">
        <x:v>Available</x:v>
      </x:c>
      <x:c r="F61" s="50" t="str">
        <x:v>Not available</x:v>
      </x:c>
      <x:c r="G61" s="50" t="str">
        <x:v>Robust editions</x:v>
      </x:c>
      <x:c r="H61" s="56" t="str">
        <x:v>Robust edition</x:v>
      </x:c>
    </x:row>
    <x:row r="62">
      <x:c r="A62" s="47" t="str">
        <x:v>TOOL-45</x:v>
      </x:c>
      <x:c r="B62" s="47" t="str">
        <x:v>Tool</x:v>
      </x:c>
      <x:c r="C62" s="47" t="n">
        <x:v>45</x:v>
      </x:c>
      <x:c r="D62" s="47" t="str">
        <x:v>Continuous Improvement Log</x:v>
      </x:c>
      <x:c r="E62" s="47" t="str">
        <x:v>Available</x:v>
      </x:c>
      <x:c r="F62" s="50" t="str">
        <x:v>Available</x:v>
      </x:c>
      <x:c r="G62" s="50" t="str">
        <x:v>Foundation Tool for Play 13</x:v>
      </x:c>
      <x:c r="H62" s="56" t="str">
        <x:v>0.9</x:v>
      </x:c>
    </x:row>
    <x:row r="63">
      <x:c r="A63" s="47" t="str">
        <x:v>TOOL-46</x:v>
      </x:c>
      <x:c r="B63" s="47" t="str">
        <x:v>Tool</x:v>
      </x:c>
      <x:c r="C63" s="47" t="n">
        <x:v>46</x:v>
      </x:c>
      <x:c r="D63" s="47" t="str">
        <x:v>AI Governance Review Meeting Template</x:v>
      </x:c>
      <x:c r="E63" s="47" t="str">
        <x:v>Available</x:v>
      </x:c>
      <x:c r="F63" s="50" t="str">
        <x:v>Available</x:v>
      </x:c>
      <x:c r="G63" s="50" t="str">
        <x:v>Foundation Tool for Play 12</x:v>
      </x:c>
      <x:c r="H63" s="56" t="str">
        <x:v>0.9</x:v>
      </x:c>
    </x:row>
    <x:row r="64">
      <x:c r="A64" s="47" t="str">
        <x:v>TOOL-47</x:v>
      </x:c>
      <x:c r="B64" s="47" t="str">
        <x:v>Tool</x:v>
      </x:c>
      <x:c r="C64" s="47" t="n">
        <x:v>47</x:v>
      </x:c>
      <x:c r="D64" s="47" t="str">
        <x:v>Equity &amp; Disparity Impact Monitoring</x:v>
      </x:c>
      <x:c r="E64" s="47" t="str">
        <x:v>Available</x:v>
      </x:c>
      <x:c r="F64" s="50" t="str">
        <x:v>Not available</x:v>
      </x:c>
      <x:c r="G64" s="50" t="str">
        <x:v>Robust editions</x:v>
      </x:c>
      <x:c r="H64" s="56" t="str">
        <x:v>Robust edition</x:v>
      </x:c>
    </x:row>
    <x:row r="65">
      <x:c r="A65" s="47" t="str">
        <x:v>TOOL-48</x:v>
      </x:c>
      <x:c r="B65" s="47" t="str">
        <x:v>Tool</x:v>
      </x:c>
      <x:c r="C65" s="47" t="n">
        <x:v>48</x:v>
      </x:c>
      <x:c r="D65" s="47" t="str">
        <x:v>AI Evaluation &amp; Outcomes Reporting</x:v>
      </x:c>
      <x:c r="E65" s="47" t="str">
        <x:v>Available</x:v>
      </x:c>
      <x:c r="F65" s="50" t="str">
        <x:v>Not available</x:v>
      </x:c>
      <x:c r="G65" s="50" t="str">
        <x:v>Robust editions</x:v>
      </x:c>
      <x:c r="H65" s="56" t="str">
        <x:v>Robust edition</x:v>
      </x:c>
    </x:row>
    <x:row r="66">
      <x:c r="A66" s="47" t="str">
        <x:v>TOOL-49</x:v>
      </x:c>
      <x:c r="B66" s="47" t="str">
        <x:v>Tool</x:v>
      </x:c>
      <x:c r="C66" s="47" t="n">
        <x:v>49</x:v>
      </x:c>
      <x:c r="D66" s="47" t="str">
        <x:v>AI Use Case Intake and Triage Worksheet</x:v>
      </x:c>
      <x:c r="E66" s="47" t="str">
        <x:v>Available</x:v>
      </x:c>
      <x:c r="F66" s="50" t="str">
        <x:v>Not available</x:v>
      </x:c>
      <x:c r="G66" s="50" t="str">
        <x:v>Robust editions</x:v>
      </x:c>
      <x:c r="H66" s="56" t="str">
        <x:v>Robust edition</x:v>
      </x:c>
    </x:row>
    <x:row r="67">
      <x:c r="A67" s="47" t="str">
        <x:v>MOD-INT-100</x:v>
      </x:c>
      <x:c r="B67" s="47" t="str">
        <x:v>Learning Module</x:v>
      </x:c>
      <x:c r="C67" s="47" t="str">
        <x:v>INT 100</x:v>
      </x:c>
      <x:c r="D67" s="47" t="str">
        <x:v>Introduction to AI for Public Health</x:v>
      </x:c>
      <x:c r="E67" s="47" t="str">
        <x:v>Full catalog</x:v>
      </x:c>
      <x:c r="F67" s="50" t="str">
        <x:v>Available</x:v>
      </x:c>
      <x:c r="G67" s="50" t="str">
        <x:v>Same canonical module</x:v>
      </x:c>
      <x:c r="H67" s="56" t="str">
        <x:v>0.9</x:v>
      </x:c>
    </x:row>
    <x:row r="68">
      <x:c r="A68" s="47" t="str">
        <x:v>MOD-INT-105</x:v>
      </x:c>
      <x:c r="B68" s="47" t="str">
        <x:v>Learning Module</x:v>
      </x:c>
      <x:c r="C68" s="47" t="str">
        <x:v>INT 105</x:v>
      </x:c>
      <x:c r="D68" s="47" t="str">
        <x:v>All-Staff Safe AI Use and Approved Tools Awareness</x:v>
      </x:c>
      <x:c r="E68" s="47" t="str">
        <x:v>Full catalog</x:v>
      </x:c>
      <x:c r="F68" s="50" t="str">
        <x:v>Available</x:v>
      </x:c>
      <x:c r="G68" s="50" t="str">
        <x:v>Foundation module</x:v>
      </x:c>
      <x:c r="H68" s="56" t="str">
        <x:v>0.9</x:v>
      </x:c>
    </x:row>
    <x:row r="69">
      <x:c r="A69" s="47" t="str">
        <x:v>MOD-INT-190</x:v>
      </x:c>
      <x:c r="B69" s="47" t="str">
        <x:v>Learning Module</x:v>
      </x:c>
      <x:c r="C69" s="47" t="str">
        <x:v>INT 190</x:v>
      </x:c>
      <x:c r="D69" s="47" t="str">
        <x:v>AI for Social Good</x:v>
      </x:c>
      <x:c r="E69" s="47" t="str">
        <x:v>Full catalog</x:v>
      </x:c>
      <x:c r="F69" s="50" t="str">
        <x:v>Available</x:v>
      </x:c>
      <x:c r="G69" s="50" t="str">
        <x:v>Same canonical module</x:v>
      </x:c>
      <x:c r="H69" s="56" t="str">
        <x:v>0.9</x:v>
      </x:c>
    </x:row>
    <x:row r="70">
      <x:c r="A70" s="47" t="str">
        <x:v>MOD-INT-200</x:v>
      </x:c>
      <x:c r="B70" s="47" t="str">
        <x:v>Learning Module</x:v>
      </x:c>
      <x:c r="C70" s="47" t="str">
        <x:v>INT 200</x:v>
      </x:c>
      <x:c r="D70" s="47" t="str">
        <x:v>AI Use Case Intake and Triage Basics</x:v>
      </x:c>
      <x:c r="E70" s="47" t="str">
        <x:v>Full catalog</x:v>
      </x:c>
      <x:c r="F70" s="50" t="str">
        <x:v>Available</x:v>
      </x:c>
      <x:c r="G70" s="50" t="str">
        <x:v>Same canonical module</x:v>
      </x:c>
      <x:c r="H70" s="56" t="str">
        <x:v>0.9</x:v>
      </x:c>
    </x:row>
    <x:row r="71">
      <x:c r="A71" s="47" t="str">
        <x:v>MOD-INT-250</x:v>
      </x:c>
      <x:c r="B71" s="47" t="str">
        <x:v>Learning Module</x:v>
      </x:c>
      <x:c r="C71" s="47" t="str">
        <x:v>INT 250</x:v>
      </x:c>
      <x:c r="D71" s="47" t="str">
        <x:v>Environmental and Resource Impacts of AI - Considerations for Ethical Public Health Use</x:v>
      </x:c>
      <x:c r="E71" s="47" t="str">
        <x:v>Full catalog</x:v>
      </x:c>
      <x:c r="F71" s="50" t="str">
        <x:v>Available</x:v>
      </x:c>
      <x:c r="G71" s="50" t="str">
        <x:v>Required for all staff</x:v>
      </x:c>
      <x:c r="H71" s="56" t="str">
        <x:v>0.9</x:v>
      </x:c>
    </x:row>
    <x:row r="72">
      <x:c r="A72" s="47" t="str">
        <x:v>MOD-GOV-100</x:v>
      </x:c>
      <x:c r="B72" s="47" t="str">
        <x:v>Learning Module</x:v>
      </x:c>
      <x:c r="C72" s="47" t="str">
        <x:v>GOV 100</x:v>
      </x:c>
      <x:c r="D72" s="47" t="str">
        <x:v>Introduction to AI Governance for Public Health</x:v>
      </x:c>
      <x:c r="E72" s="47" t="str">
        <x:v>Full catalog</x:v>
      </x:c>
      <x:c r="F72" s="50" t="str">
        <x:v>Available</x:v>
      </x:c>
      <x:c r="G72" s="50" t="str">
        <x:v>Same canonical module</x:v>
      </x:c>
      <x:c r="H72" s="56" t="str">
        <x:v>0.9</x:v>
      </x:c>
    </x:row>
    <x:row r="73">
      <x:c r="A73" s="47" t="str">
        <x:v>MOD-GOV-110</x:v>
      </x:c>
      <x:c r="B73" s="47" t="str">
        <x:v>Learning Module</x:v>
      </x:c>
      <x:c r="C73" s="47" t="str">
        <x:v>GOV 110</x:v>
      </x:c>
      <x:c r="D73" s="47" t="str">
        <x:v>Respecting Tribal Sovereignty and Indigenous Data Governance</x:v>
      </x:c>
      <x:c r="E73" s="47" t="str">
        <x:v>Full catalog</x:v>
      </x:c>
      <x:c r="F73" s="50" t="str">
        <x:v>Available</x:v>
      </x:c>
      <x:c r="G73" s="50" t="str">
        <x:v>Same canonical module</x:v>
      </x:c>
      <x:c r="H73" s="56" t="str">
        <x:v>0.9</x:v>
      </x:c>
    </x:row>
    <x:row r="74">
      <x:c r="A74" s="47" t="str">
        <x:v>MOD-COM-200</x:v>
      </x:c>
      <x:c r="B74" s="47" t="str">
        <x:v>Learning Module</x:v>
      </x:c>
      <x:c r="C74" s="47" t="str">
        <x:v>COM 200</x:v>
      </x:c>
      <x:c r="D74" s="47" t="str">
        <x:v>AI for Public Health Communications and Message Development</x:v>
      </x:c>
      <x:c r="E74" s="47" t="str">
        <x:v>Full catalog</x:v>
      </x:c>
      <x:c r="F74" s="50" t="str">
        <x:v>Available</x:v>
      </x:c>
      <x:c r="G74" s="50" t="str">
        <x:v>Same canonical module</x:v>
      </x:c>
      <x:c r="H74" s="56" t="str">
        <x:v>0.9</x:v>
      </x:c>
    </x:row>
    <x:row r="75">
      <x:c r="A75" s="47" t="str">
        <x:v>MOD-COM-210</x:v>
      </x:c>
      <x:c r="B75" s="47" t="str">
        <x:v>Learning Module</x:v>
      </x:c>
      <x:c r="C75" s="47" t="str">
        <x:v>COM 210</x:v>
      </x:c>
      <x:c r="D75" s="47" t="str">
        <x:v>AI-Assisted Translation, Language Access, and Readability Review</x:v>
      </x:c>
      <x:c r="E75" s="47" t="str">
        <x:v>Full catalog</x:v>
      </x:c>
      <x:c r="F75" s="50" t="str">
        <x:v>Available</x:v>
      </x:c>
      <x:c r="G75" s="50" t="str">
        <x:v>Same canonical module</x:v>
      </x:c>
      <x:c r="H75" s="56" t="str">
        <x:v>0.9</x:v>
      </x:c>
    </x:row>
    <x:row r="76">
      <x:c r="A76" s="48" t="str">
        <x:v>MOD-OTHER</x:v>
      </x:c>
      <x:c r="B76" s="48" t="str">
        <x:v>Learning Catalog</x:v>
      </x:c>
      <x:c r="C76" s="48" t="str">
        <x:v>Additional developed modules</x:v>
      </x:c>
      <x:c r="D76" s="48" t="str">
        <x:v>80 additional modules</x:v>
      </x:c>
      <x:c r="E76" s="48" t="str">
        <x:v>Available according to robust-edition entitlement</x:v>
      </x:c>
      <x:c r="F76" s="51" t="str">
        <x:v>Not available to take</x:v>
      </x:c>
      <x:c r="G76" s="51" t="str">
        <x:v>Grouped row; detailed canonical catalog remains source of truth</x:v>
      </x:c>
      <x:c r="H76" s="57" t="str">
        <x:v>Robust edition</x:v>
      </x:c>
    </x:row>
  </x:sheetData>
  <x:mergeCells>
    <x:mergeCell ref="A1:H1"/>
    <x:mergeCell ref="A2:H2"/>
  </x:mergeCells>
  <x:dataValidations count="1">
    <x:dataValidation type="list" sqref="F5:F76">
      <x:formula1>"Available,Not available,Available — bounded public guidance,Available in other editions,Needs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a4b808f95e4b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40" hidden="0" customWidth="1"/>
    <x:col min="4" max="4" width="28" hidden="0" customWidth="1"/>
    <x:col min="5" max="5" width="14" hidden="0" customWidth="1"/>
    <x:col min="6" max="6" width="18" hidden="0" customWidth="1"/>
    <x:col min="7" max="7" width="15" hidden="0" customWidth="1"/>
    <x:col min="8" max="8" width="16" hidden="0" customWidth="1"/>
    <x:col min="9" max="9" width="18" hidden="0" customWidth="1"/>
    <x:col min="10" max="10" width="16" hidden="0" customWidth="1"/>
    <x:col min="11" max="11" width="22" hidden="0" customWidth="1"/>
    <x:col min="12" max="12" width="40" hidden="0" customWidth="1"/>
  </x:cols>
  <x:sheetData>
    <x:row r="1" ht="30" customHeight="1">
      <x:c r="A1" s="3" t="str">
        <x:v>Approved Change and Release Log</x:v>
      </x:c>
    </x:row>
    <x:row r="2" ht="34" customHeight="1">
      <x:c r="A2" s="7" t="str">
        <x:v>Append one row for each approved product change. Do not overwrite prior entries; this sheet is the audit trail.</x:v>
      </x:c>
    </x:row>
    <x:row r="4" ht="34" customHeight="1">
      <x:c r="A4" s="38" t="str">
        <x:v>Change ID</x:v>
      </x:c>
      <x:c r="B4" s="38" t="str">
        <x:v>Stable Item ID</x:v>
      </x:c>
      <x:c r="C4" s="38" t="str">
        <x:v>Requested Change</x:v>
      </x:c>
      <x:c r="D4" s="38" t="str">
        <x:v>Reason / Source</x:v>
      </x:c>
      <x:c r="E4" s="38" t="str">
        <x:v>Decision</x:v>
      </x:c>
      <x:c r="F4" s="38" t="str">
        <x:v>Approved By</x:v>
      </x:c>
      <x:c r="G4" s="38" t="str">
        <x:v>Approval Date</x:v>
      </x:c>
      <x:c r="H4" s="38" t="str">
        <x:v>Target Version</x:v>
      </x:c>
      <x:c r="I4" s="38" t="str">
        <x:v>Implementation Status</x:v>
      </x:c>
      <x:c r="J4" s="38" t="str">
        <x:v>Implemented Date</x:v>
      </x:c>
      <x:c r="K4" s="38" t="str">
        <x:v>Commit / PR</x:v>
      </x:c>
      <x:c r="L4" s="38" t="str">
        <x:v>Validation Notes</x:v>
      </x:c>
    </x:row>
    <x:row r="5">
      <x:c r="A5" s="49" t="str">
        <x:v>CHG-0001</x:v>
      </x:c>
      <x:c r="B5" s="49" t="str">
        <x:v>PLAT-002</x:v>
      </x:c>
      <x:c r="C5" s="49" t="str">
        <x:v>Use the same page templates across Full and Foundation editions</x:v>
      </x:c>
      <x:c r="D5" s="49" t="str">
        <x:v>Product consistency decision</x:v>
      </x:c>
      <x:c r="E5" s="49" t="str">
        <x:v>Approved</x:v>
      </x:c>
      <x:c r="F5" s="49" t="str">
        <x:v>Paula Soper</x:v>
      </x:c>
      <x:c r="G5" s="52" t="n">
        <x:v>46255.666666666664</x:v>
      </x:c>
      <x:c r="H5" s="55" t="str">
        <x:v>1.0</x:v>
      </x:c>
      <x:c r="I5" s="49" t="str">
        <x:v>In Progress</x:v>
      </x:c>
      <x:c r="J5" s="52" t="str"/>
      <x:c r="K5" s="49" t="str"/>
      <x:c r="L5" s="49" t="str">
        <x:v>Shared template layer added locally; regression validation pending</x:v>
      </x:c>
    </x:row>
    <x:row r="6">
      <x:c r="A6" s="50" t="str">
        <x:v>CHG-0002</x:v>
      </x:c>
      <x:c r="B6" s="50" t="str">
        <x:v>HOME-004</x:v>
      </x:c>
      <x:c r="C6" s="50" t="str">
        <x:v>Differentiate Foundation free/low-cost release from forthcoming robust editions</x:v>
      </x:c>
      <x:c r="D6" s="50" t="str">
        <x:v>Homepage positioning review</x:v>
      </x:c>
      <x:c r="E6" s="50" t="str">
        <x:v>Approved</x:v>
      </x:c>
      <x:c r="F6" s="50" t="str">
        <x:v>Paula Soper</x:v>
      </x:c>
      <x:c r="G6" s="53" t="n">
        <x:v>46255.666666666664</x:v>
      </x:c>
      <x:c r="H6" s="56" t="str">
        <x:v>1.0</x:v>
      </x:c>
      <x:c r="I6" s="50" t="str">
        <x:v>In Progress</x:v>
      </x:c>
      <x:c r="J6" s="53" t="str"/>
      <x:c r="K6" s="50" t="str"/>
      <x:c r="L6" s="50" t="str">
        <x:v>Foundation comparison content added locally</x:v>
      </x:c>
    </x:row>
    <x:row r="7">
      <x:c r="A7" s="51" t="str">
        <x:v>CHG-0003</x:v>
      </x:c>
      <x:c r="B7" s="51" t="str">
        <x:v>GOV-001</x:v>
      </x:c>
      <x:c r="C7" s="51" t="str">
        <x:v>Create Full/Foundation edition crosswalk for version control and future updates</x:v>
      </x:c>
      <x:c r="D7" s="51" t="str">
        <x:v>Product governance request</x:v>
      </x:c>
      <x:c r="E7" s="51" t="str">
        <x:v>Approved</x:v>
      </x:c>
      <x:c r="F7" s="51" t="str">
        <x:v>Paula Soper</x:v>
      </x:c>
      <x:c r="G7" s="54" t="n">
        <x:v>46255.666666666664</x:v>
      </x:c>
      <x:c r="H7" s="57" t="str">
        <x:v>1.0</x:v>
      </x:c>
      <x:c r="I7" s="51" t="str">
        <x:v>Complete</x:v>
      </x:c>
      <x:c r="J7" s="54" t="n">
        <x:v>46255.666666666664</x:v>
      </x:c>
      <x:c r="K7" s="51" t="str"/>
      <x:c r="L7" s="51" t="str">
        <x:v>Workbook created</x:v>
      </x:c>
    </x:row>
    <x:row r="8">
      <x:c r="A8" s="15"/>
      <x:c r="B8" s="15"/>
      <x:c r="C8" s="15"/>
      <x:c r="D8" s="15"/>
      <x:c r="E8" s="15"/>
      <x:c r="F8" s="15"/>
      <x:c r="G8" s="14"/>
      <x:c r="H8" s="13"/>
      <x:c r="I8" s="15"/>
      <x:c r="J8" s="14"/>
      <x:c r="K8" s="15"/>
      <x:c r="L8" s="15"/>
    </x:row>
    <x:row r="9">
      <x:c r="A9" s="15"/>
      <x:c r="B9" s="15"/>
      <x:c r="C9" s="15"/>
      <x:c r="D9" s="15"/>
      <x:c r="E9" s="15"/>
      <x:c r="F9" s="15"/>
      <x:c r="G9" s="14"/>
      <x:c r="H9" s="13"/>
      <x:c r="I9" s="15"/>
      <x:c r="J9" s="14"/>
      <x:c r="K9" s="15"/>
      <x:c r="L9" s="15"/>
    </x:row>
    <x:row r="10">
      <x:c r="A10" s="15"/>
      <x:c r="B10" s="15"/>
      <x:c r="C10" s="15"/>
      <x:c r="D10" s="15"/>
      <x:c r="E10" s="15"/>
      <x:c r="F10" s="15"/>
      <x:c r="G10" s="14"/>
      <x:c r="H10" s="13"/>
      <x:c r="I10" s="15"/>
      <x:c r="J10" s="14"/>
      <x:c r="K10" s="15"/>
      <x:c r="L10" s="15"/>
    </x:row>
    <x:row r="11">
      <x:c r="A11" s="15"/>
      <x:c r="B11" s="15"/>
      <x:c r="C11" s="15"/>
      <x:c r="D11" s="15"/>
      <x:c r="E11" s="15"/>
      <x:c r="F11" s="15"/>
      <x:c r="G11" s="14"/>
      <x:c r="H11" s="13"/>
      <x:c r="I11" s="15"/>
      <x:c r="J11" s="14"/>
      <x:c r="K11" s="15"/>
      <x:c r="L11" s="15"/>
    </x:row>
    <x:row r="12">
      <x:c r="A12" s="15"/>
      <x:c r="B12" s="15"/>
      <x:c r="C12" s="15"/>
      <x:c r="D12" s="15"/>
      <x:c r="E12" s="15"/>
      <x:c r="F12" s="15"/>
      <x:c r="G12" s="14"/>
      <x:c r="H12" s="13"/>
      <x:c r="I12" s="15"/>
      <x:c r="J12" s="14"/>
      <x:c r="K12" s="15"/>
      <x:c r="L12" s="15"/>
    </x:row>
    <x:row r="13">
      <x:c r="A13" s="15"/>
      <x:c r="B13" s="15"/>
      <x:c r="C13" s="15"/>
      <x:c r="D13" s="15"/>
      <x:c r="E13" s="15"/>
      <x:c r="F13" s="15"/>
      <x:c r="G13" s="14"/>
      <x:c r="H13" s="13"/>
      <x:c r="I13" s="15"/>
      <x:c r="J13" s="14"/>
      <x:c r="K13" s="15"/>
      <x:c r="L13" s="15"/>
    </x:row>
    <x:row r="14">
      <x:c r="A14" s="15"/>
      <x:c r="B14" s="15"/>
      <x:c r="C14" s="15"/>
      <x:c r="D14" s="15"/>
      <x:c r="E14" s="15"/>
      <x:c r="F14" s="15"/>
      <x:c r="G14" s="14"/>
      <x:c r="H14" s="13"/>
      <x:c r="I14" s="15"/>
      <x:c r="J14" s="14"/>
      <x:c r="K14" s="15"/>
      <x:c r="L14" s="15"/>
    </x:row>
    <x:row r="15">
      <x:c r="A15" s="15"/>
      <x:c r="B15" s="15"/>
      <x:c r="C15" s="15"/>
      <x:c r="D15" s="15"/>
      <x:c r="E15" s="15"/>
      <x:c r="F15" s="15"/>
      <x:c r="G15" s="14"/>
      <x:c r="H15" s="13"/>
      <x:c r="I15" s="15"/>
      <x:c r="J15" s="14"/>
      <x:c r="K15" s="15"/>
      <x:c r="L15" s="15"/>
    </x:row>
    <x:row r="16">
      <x:c r="A16" s="15"/>
      <x:c r="B16" s="15"/>
      <x:c r="C16" s="15"/>
      <x:c r="D16" s="15"/>
      <x:c r="E16" s="15"/>
      <x:c r="F16" s="15"/>
      <x:c r="G16" s="14"/>
      <x:c r="H16" s="13"/>
      <x:c r="I16" s="15"/>
      <x:c r="J16" s="14"/>
      <x:c r="K16" s="15"/>
      <x:c r="L16" s="15"/>
    </x:row>
    <x:row r="17">
      <x:c r="A17" s="15"/>
      <x:c r="B17" s="15"/>
      <x:c r="C17" s="15"/>
      <x:c r="D17" s="15"/>
      <x:c r="E17" s="15"/>
      <x:c r="F17" s="15"/>
      <x:c r="G17" s="14"/>
      <x:c r="H17" s="13"/>
      <x:c r="I17" s="15"/>
      <x:c r="J17" s="14"/>
      <x:c r="K17" s="15"/>
      <x:c r="L17" s="15"/>
    </x:row>
    <x:row r="18">
      <x:c r="A18" s="15"/>
      <x:c r="B18" s="15"/>
      <x:c r="C18" s="15"/>
      <x:c r="D18" s="15"/>
      <x:c r="E18" s="15"/>
      <x:c r="F18" s="15"/>
      <x:c r="G18" s="14"/>
      <x:c r="H18" s="13"/>
      <x:c r="I18" s="15"/>
      <x:c r="J18" s="14"/>
      <x:c r="K18" s="15"/>
      <x:c r="L18" s="15"/>
    </x:row>
    <x:row r="19">
      <x:c r="A19" s="15"/>
      <x:c r="B19" s="15"/>
      <x:c r="C19" s="15"/>
      <x:c r="D19" s="15"/>
      <x:c r="E19" s="15"/>
      <x:c r="F19" s="15"/>
      <x:c r="G19" s="14"/>
      <x:c r="H19" s="13"/>
      <x:c r="I19" s="15"/>
      <x:c r="J19" s="14"/>
      <x:c r="K19" s="15"/>
      <x:c r="L19" s="15"/>
    </x:row>
    <x:row r="20">
      <x:c r="A20" s="15"/>
      <x:c r="B20" s="15"/>
      <x:c r="C20" s="15"/>
      <x:c r="D20" s="15"/>
      <x:c r="E20" s="15"/>
      <x:c r="F20" s="15"/>
      <x:c r="G20" s="14"/>
      <x:c r="H20" s="13"/>
      <x:c r="I20" s="15"/>
      <x:c r="J20" s="14"/>
      <x:c r="K20" s="15"/>
      <x:c r="L20" s="15"/>
    </x:row>
    <x:row r="21">
      <x:c r="A21" s="15"/>
      <x:c r="B21" s="15"/>
      <x:c r="C21" s="15"/>
      <x:c r="D21" s="15"/>
      <x:c r="E21" s="15"/>
      <x:c r="F21" s="15"/>
      <x:c r="G21" s="14"/>
      <x:c r="H21" s="13"/>
      <x:c r="I21" s="15"/>
      <x:c r="J21" s="14"/>
      <x:c r="K21" s="15"/>
      <x:c r="L21" s="15"/>
    </x:row>
    <x:row r="22">
      <x:c r="A22" s="15"/>
      <x:c r="B22" s="15"/>
      <x:c r="C22" s="15"/>
      <x:c r="D22" s="15"/>
      <x:c r="E22" s="15"/>
      <x:c r="F22" s="15"/>
      <x:c r="G22" s="14"/>
      <x:c r="H22" s="13"/>
      <x:c r="I22" s="15"/>
      <x:c r="J22" s="14"/>
      <x:c r="K22" s="15"/>
      <x:c r="L22" s="15"/>
    </x:row>
    <x:row r="23">
      <x:c r="A23" s="15"/>
      <x:c r="B23" s="15"/>
      <x:c r="C23" s="15"/>
      <x:c r="D23" s="15"/>
      <x:c r="E23" s="15"/>
      <x:c r="F23" s="15"/>
      <x:c r="G23" s="14"/>
      <x:c r="H23" s="13"/>
      <x:c r="I23" s="15"/>
      <x:c r="J23" s="14"/>
      <x:c r="K23" s="15"/>
      <x:c r="L23" s="15"/>
    </x:row>
    <x:row r="24">
      <x:c r="A24" s="15"/>
      <x:c r="B24" s="15"/>
      <x:c r="C24" s="15"/>
      <x:c r="D24" s="15"/>
      <x:c r="E24" s="15"/>
      <x:c r="F24" s="15"/>
      <x:c r="G24" s="14"/>
      <x:c r="H24" s="13"/>
      <x:c r="I24" s="15"/>
      <x:c r="J24" s="14"/>
      <x:c r="K24" s="15"/>
      <x:c r="L24" s="15"/>
    </x:row>
    <x:row r="25">
      <x:c r="A25" s="15"/>
      <x:c r="B25" s="15"/>
      <x:c r="C25" s="15"/>
      <x:c r="D25" s="15"/>
      <x:c r="E25" s="15"/>
      <x:c r="F25" s="15"/>
      <x:c r="G25" s="14"/>
      <x:c r="H25" s="13"/>
      <x:c r="I25" s="15"/>
      <x:c r="J25" s="14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4"/>
      <x:c r="H26" s="13"/>
      <x:c r="I26" s="15"/>
      <x:c r="J26" s="14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4"/>
      <x:c r="H27" s="13"/>
      <x:c r="I27" s="15"/>
      <x:c r="J27" s="14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4"/>
      <x:c r="H28" s="13"/>
      <x:c r="I28" s="15"/>
      <x:c r="J28" s="14"/>
      <x:c r="K28" s="15"/>
      <x:c r="L28" s="15"/>
    </x:row>
    <x:row r="29">
      <x:c r="A29" s="15"/>
      <x:c r="B29" s="15"/>
      <x:c r="C29" s="15"/>
      <x:c r="D29" s="15"/>
      <x:c r="E29" s="15"/>
      <x:c r="F29" s="15"/>
      <x:c r="G29" s="14"/>
      <x:c r="H29" s="13"/>
      <x:c r="I29" s="15"/>
      <x:c r="J29" s="14"/>
      <x:c r="K29" s="15"/>
      <x:c r="L29" s="15"/>
    </x:row>
    <x:row r="30">
      <x:c r="A30" s="15"/>
      <x:c r="B30" s="15"/>
      <x:c r="C30" s="15"/>
      <x:c r="D30" s="15"/>
      <x:c r="E30" s="15"/>
      <x:c r="F30" s="15"/>
      <x:c r="G30" s="14"/>
      <x:c r="H30" s="13"/>
      <x:c r="I30" s="15"/>
      <x:c r="J30" s="14"/>
      <x:c r="K30" s="15"/>
      <x:c r="L30" s="15"/>
    </x:row>
    <x:row r="31">
      <x:c r="A31" s="15"/>
      <x:c r="B31" s="15"/>
      <x:c r="C31" s="15"/>
      <x:c r="D31" s="15"/>
      <x:c r="E31" s="15"/>
      <x:c r="F31" s="15"/>
      <x:c r="G31" s="14"/>
      <x:c r="H31" s="13"/>
      <x:c r="I31" s="15"/>
      <x:c r="J31" s="14"/>
      <x:c r="K31" s="15"/>
      <x:c r="L31" s="15"/>
    </x:row>
    <x:row r="32">
      <x:c r="A32" s="15"/>
      <x:c r="B32" s="15"/>
      <x:c r="C32" s="15"/>
      <x:c r="D32" s="15"/>
      <x:c r="E32" s="15"/>
      <x:c r="F32" s="15"/>
      <x:c r="G32" s="14"/>
      <x:c r="H32" s="13"/>
      <x:c r="I32" s="15"/>
      <x:c r="J32" s="14"/>
      <x:c r="K32" s="15"/>
      <x:c r="L32" s="15"/>
    </x:row>
    <x:row r="33">
      <x:c r="A33" s="15"/>
      <x:c r="B33" s="15"/>
      <x:c r="C33" s="15"/>
      <x:c r="D33" s="15"/>
      <x:c r="E33" s="15"/>
      <x:c r="F33" s="15"/>
      <x:c r="G33" s="14"/>
      <x:c r="H33" s="13"/>
      <x:c r="I33" s="15"/>
      <x:c r="J33" s="14"/>
      <x:c r="K33" s="15"/>
      <x:c r="L33" s="15"/>
    </x:row>
    <x:row r="34">
      <x:c r="A34" s="15"/>
      <x:c r="B34" s="15"/>
      <x:c r="C34" s="15"/>
      <x:c r="D34" s="15"/>
      <x:c r="E34" s="15"/>
      <x:c r="F34" s="15"/>
      <x:c r="G34" s="14"/>
      <x:c r="H34" s="13"/>
      <x:c r="I34" s="15"/>
      <x:c r="J34" s="14"/>
      <x:c r="K34" s="15"/>
      <x:c r="L34" s="15"/>
    </x:row>
    <x:row r="35">
      <x:c r="A35" s="15"/>
      <x:c r="B35" s="15"/>
      <x:c r="C35" s="15"/>
      <x:c r="D35" s="15"/>
      <x:c r="E35" s="15"/>
      <x:c r="F35" s="15"/>
      <x:c r="G35" s="14"/>
      <x:c r="H35" s="13"/>
      <x:c r="I35" s="15"/>
      <x:c r="J35" s="14"/>
      <x:c r="K35" s="15"/>
      <x:c r="L35" s="15"/>
    </x:row>
    <x:row r="36">
      <x:c r="A36" s="15"/>
      <x:c r="B36" s="15"/>
      <x:c r="C36" s="15"/>
      <x:c r="D36" s="15"/>
      <x:c r="E36" s="15"/>
      <x:c r="F36" s="15"/>
      <x:c r="G36" s="14"/>
      <x:c r="H36" s="13"/>
      <x:c r="I36" s="15"/>
      <x:c r="J36" s="14"/>
      <x:c r="K36" s="15"/>
      <x:c r="L36" s="15"/>
    </x:row>
    <x:row r="37">
      <x:c r="A37" s="15"/>
      <x:c r="B37" s="15"/>
      <x:c r="C37" s="15"/>
      <x:c r="D37" s="15"/>
      <x:c r="E37" s="15"/>
      <x:c r="F37" s="15"/>
      <x:c r="G37" s="14"/>
      <x:c r="H37" s="13"/>
      <x:c r="I37" s="15"/>
      <x:c r="J37" s="14"/>
      <x:c r="K37" s="15"/>
      <x:c r="L37" s="15"/>
    </x:row>
    <x:row r="38">
      <x:c r="A38" s="15"/>
      <x:c r="B38" s="15"/>
      <x:c r="C38" s="15"/>
      <x:c r="D38" s="15"/>
      <x:c r="E38" s="15"/>
      <x:c r="F38" s="15"/>
      <x:c r="G38" s="14"/>
      <x:c r="H38" s="13"/>
      <x:c r="I38" s="15"/>
      <x:c r="J38" s="14"/>
      <x:c r="K38" s="15"/>
      <x:c r="L38" s="15"/>
    </x:row>
    <x:row r="39">
      <x:c r="A39" s="15"/>
      <x:c r="B39" s="15"/>
      <x:c r="C39" s="15"/>
      <x:c r="D39" s="15"/>
      <x:c r="E39" s="15"/>
      <x:c r="F39" s="15"/>
      <x:c r="G39" s="14"/>
      <x:c r="H39" s="13"/>
      <x:c r="I39" s="15"/>
      <x:c r="J39" s="14"/>
      <x:c r="K39" s="15"/>
      <x:c r="L39" s="15"/>
    </x:row>
    <x:row r="40">
      <x:c r="A40" s="15"/>
      <x:c r="B40" s="15"/>
      <x:c r="C40" s="15"/>
      <x:c r="D40" s="15"/>
      <x:c r="E40" s="15"/>
      <x:c r="F40" s="15"/>
      <x:c r="G40" s="14"/>
      <x:c r="H40" s="13"/>
      <x:c r="I40" s="15"/>
      <x:c r="J40" s="14"/>
      <x:c r="K40" s="15"/>
      <x:c r="L40" s="15"/>
    </x:row>
    <x:row r="41">
      <x:c r="A41" s="15"/>
      <x:c r="B41" s="15"/>
      <x:c r="C41" s="15"/>
      <x:c r="D41" s="15"/>
      <x:c r="E41" s="15"/>
      <x:c r="F41" s="15"/>
      <x:c r="G41" s="14"/>
      <x:c r="H41" s="13"/>
      <x:c r="I41" s="15"/>
      <x:c r="J41" s="14"/>
      <x:c r="K41" s="15"/>
      <x:c r="L41" s="15"/>
    </x:row>
    <x:row r="42">
      <x:c r="A42" s="15"/>
      <x:c r="B42" s="15"/>
      <x:c r="C42" s="15"/>
      <x:c r="D42" s="15"/>
      <x:c r="E42" s="15"/>
      <x:c r="F42" s="15"/>
      <x:c r="G42" s="14"/>
      <x:c r="H42" s="13"/>
      <x:c r="I42" s="15"/>
      <x:c r="J42" s="14"/>
      <x:c r="K42" s="15"/>
      <x:c r="L42" s="15"/>
    </x:row>
    <x:row r="43">
      <x:c r="A43" s="15"/>
      <x:c r="B43" s="15"/>
      <x:c r="C43" s="15"/>
      <x:c r="D43" s="15"/>
      <x:c r="E43" s="15"/>
      <x:c r="F43" s="15"/>
      <x:c r="G43" s="14"/>
      <x:c r="H43" s="13"/>
      <x:c r="I43" s="15"/>
      <x:c r="J43" s="14"/>
      <x:c r="K43" s="15"/>
      <x:c r="L43" s="15"/>
    </x:row>
    <x:row r="44">
      <x:c r="A44" s="15"/>
      <x:c r="B44" s="15"/>
      <x:c r="C44" s="15"/>
      <x:c r="D44" s="15"/>
      <x:c r="E44" s="15"/>
      <x:c r="F44" s="15"/>
      <x:c r="G44" s="14"/>
      <x:c r="H44" s="13"/>
      <x:c r="I44" s="15"/>
      <x:c r="J44" s="14"/>
      <x:c r="K44" s="15"/>
      <x:c r="L44" s="15"/>
    </x:row>
    <x:row r="45">
      <x:c r="A45" s="15"/>
      <x:c r="B45" s="15"/>
      <x:c r="C45" s="15"/>
      <x:c r="D45" s="15"/>
      <x:c r="E45" s="15"/>
      <x:c r="F45" s="15"/>
      <x:c r="G45" s="14"/>
      <x:c r="H45" s="13"/>
      <x:c r="I45" s="15"/>
      <x:c r="J45" s="14"/>
      <x:c r="K45" s="15"/>
      <x:c r="L45" s="15"/>
    </x:row>
    <x:row r="46">
      <x:c r="A46" s="15"/>
      <x:c r="B46" s="15"/>
      <x:c r="C46" s="15"/>
      <x:c r="D46" s="15"/>
      <x:c r="E46" s="15"/>
      <x:c r="F46" s="15"/>
      <x:c r="G46" s="14"/>
      <x:c r="H46" s="13"/>
      <x:c r="I46" s="15"/>
      <x:c r="J46" s="14"/>
      <x:c r="K46" s="15"/>
      <x:c r="L46" s="15"/>
    </x:row>
    <x:row r="47">
      <x:c r="A47" s="15"/>
      <x:c r="B47" s="15"/>
      <x:c r="C47" s="15"/>
      <x:c r="D47" s="15"/>
      <x:c r="E47" s="15"/>
      <x:c r="F47" s="15"/>
      <x:c r="G47" s="14"/>
      <x:c r="H47" s="13"/>
      <x:c r="I47" s="15"/>
      <x:c r="J47" s="14"/>
      <x:c r="K47" s="15"/>
      <x:c r="L47" s="15"/>
    </x:row>
    <x:row r="48">
      <x:c r="A48" s="15"/>
      <x:c r="B48" s="15"/>
      <x:c r="C48" s="15"/>
      <x:c r="D48" s="15"/>
      <x:c r="E48" s="15"/>
      <x:c r="F48" s="15"/>
      <x:c r="G48" s="14"/>
      <x:c r="H48" s="13"/>
      <x:c r="I48" s="15"/>
      <x:c r="J48" s="14"/>
      <x:c r="K48" s="15"/>
      <x:c r="L48" s="15"/>
    </x:row>
    <x:row r="49">
      <x:c r="A49" s="15"/>
      <x:c r="B49" s="15"/>
      <x:c r="C49" s="15"/>
      <x:c r="D49" s="15"/>
      <x:c r="E49" s="15"/>
      <x:c r="F49" s="15"/>
      <x:c r="G49" s="14"/>
      <x:c r="H49" s="13"/>
      <x:c r="I49" s="15"/>
      <x:c r="J49" s="14"/>
      <x:c r="K49" s="15"/>
      <x:c r="L49" s="15"/>
    </x:row>
    <x:row r="50">
      <x:c r="A50" s="15"/>
      <x:c r="B50" s="15"/>
      <x:c r="C50" s="15"/>
      <x:c r="D50" s="15"/>
      <x:c r="E50" s="15"/>
      <x:c r="F50" s="15"/>
      <x:c r="G50" s="14"/>
      <x:c r="H50" s="13"/>
      <x:c r="I50" s="15"/>
      <x:c r="J50" s="14"/>
      <x:c r="K50" s="15"/>
      <x:c r="L50" s="15"/>
    </x:row>
    <x:row r="51">
      <x:c r="G51" s="11"/>
      <x:c r="H51" s="10"/>
      <x:c r="J51" s="11"/>
    </x:row>
    <x:row r="52">
      <x:c r="G52" s="11"/>
      <x:c r="H52" s="10"/>
      <x:c r="J52" s="11"/>
    </x:row>
    <x:row r="53">
      <x:c r="G53" s="11"/>
      <x:c r="H53" s="10"/>
      <x:c r="J53" s="11"/>
    </x:row>
    <x:row r="54">
      <x:c r="G54" s="11"/>
      <x:c r="H54" s="10"/>
      <x:c r="J54" s="11"/>
    </x:row>
    <x:row r="55">
      <x:c r="G55" s="11"/>
      <x:c r="H55" s="10"/>
      <x:c r="J55" s="11"/>
    </x:row>
    <x:row r="56">
      <x:c r="G56" s="11"/>
      <x:c r="H56" s="10"/>
      <x:c r="J56" s="11"/>
    </x:row>
    <x:row r="57">
      <x:c r="G57" s="11"/>
      <x:c r="H57" s="10"/>
      <x:c r="J57" s="11"/>
    </x:row>
    <x:row r="58">
      <x:c r="G58" s="11"/>
      <x:c r="H58" s="10"/>
      <x:c r="J58" s="11"/>
    </x:row>
    <x:row r="59">
      <x:c r="G59" s="11"/>
      <x:c r="H59" s="10"/>
      <x:c r="J59" s="11"/>
    </x:row>
    <x:row r="60">
      <x:c r="G60" s="11"/>
      <x:c r="H60" s="10"/>
      <x:c r="J60" s="11"/>
    </x:row>
    <x:row r="61">
      <x:c r="G61" s="11"/>
      <x:c r="H61" s="10"/>
      <x:c r="J61" s="11"/>
    </x:row>
    <x:row r="62">
      <x:c r="G62" s="11"/>
      <x:c r="H62" s="10"/>
      <x:c r="J62" s="11"/>
    </x:row>
    <x:row r="63">
      <x:c r="G63" s="11"/>
      <x:c r="H63" s="10"/>
      <x:c r="J63" s="11"/>
    </x:row>
    <x:row r="64">
      <x:c r="G64" s="11"/>
      <x:c r="H64" s="10"/>
      <x:c r="J64" s="11"/>
    </x:row>
    <x:row r="65">
      <x:c r="G65" s="11"/>
      <x:c r="H65" s="10"/>
      <x:c r="J65" s="11"/>
    </x:row>
    <x:row r="66">
      <x:c r="G66" s="11"/>
      <x:c r="H66" s="10"/>
      <x:c r="J66" s="11"/>
    </x:row>
    <x:row r="67">
      <x:c r="G67" s="11"/>
      <x:c r="H67" s="10"/>
      <x:c r="J67" s="11"/>
    </x:row>
    <x:row r="68">
      <x:c r="G68" s="11"/>
      <x:c r="H68" s="10"/>
      <x:c r="J68" s="11"/>
    </x:row>
    <x:row r="69">
      <x:c r="G69" s="11"/>
      <x:c r="H69" s="10"/>
      <x:c r="J69" s="11"/>
    </x:row>
    <x:row r="70">
      <x:c r="G70" s="11"/>
      <x:c r="H70" s="10"/>
      <x:c r="J70" s="11"/>
    </x:row>
    <x:row r="71">
      <x:c r="G71" s="11"/>
      <x:c r="H71" s="10"/>
      <x:c r="J71" s="11"/>
    </x:row>
    <x:row r="72">
      <x:c r="G72" s="11"/>
      <x:c r="H72" s="10"/>
      <x:c r="J72" s="11"/>
    </x:row>
    <x:row r="73">
      <x:c r="G73" s="11"/>
      <x:c r="H73" s="10"/>
      <x:c r="J73" s="11"/>
    </x:row>
    <x:row r="74">
      <x:c r="G74" s="11"/>
      <x:c r="H74" s="10"/>
      <x:c r="J74" s="11"/>
    </x:row>
    <x:row r="75">
      <x:c r="G75" s="11"/>
      <x:c r="H75" s="10"/>
      <x:c r="J75" s="11"/>
    </x:row>
    <x:row r="76">
      <x:c r="G76" s="11"/>
      <x:c r="H76" s="10"/>
      <x:c r="J76" s="11"/>
    </x:row>
    <x:row r="77">
      <x:c r="G77" s="11"/>
      <x:c r="H77" s="10"/>
      <x:c r="J77" s="11"/>
    </x:row>
    <x:row r="78">
      <x:c r="G78" s="11"/>
      <x:c r="H78" s="10"/>
      <x:c r="J78" s="11"/>
    </x:row>
    <x:row r="79">
      <x:c r="G79" s="11"/>
      <x:c r="H79" s="10"/>
      <x:c r="J79" s="11"/>
    </x:row>
    <x:row r="80">
      <x:c r="G80" s="11"/>
      <x:c r="H80" s="10"/>
      <x:c r="J80" s="11"/>
    </x:row>
    <x:row r="81">
      <x:c r="G81" s="11"/>
      <x:c r="H81" s="10"/>
      <x:c r="J81" s="11"/>
    </x:row>
    <x:row r="82">
      <x:c r="G82" s="11"/>
      <x:c r="H82" s="10"/>
      <x:c r="J82" s="11"/>
    </x:row>
    <x:row r="83">
      <x:c r="G83" s="11"/>
      <x:c r="H83" s="10"/>
      <x:c r="J83" s="11"/>
    </x:row>
    <x:row r="84">
      <x:c r="G84" s="11"/>
      <x:c r="H84" s="10"/>
      <x:c r="J84" s="11"/>
    </x:row>
    <x:row r="85">
      <x:c r="G85" s="11"/>
      <x:c r="H85" s="10"/>
      <x:c r="J85" s="11"/>
    </x:row>
    <x:row r="86">
      <x:c r="G86" s="11"/>
      <x:c r="H86" s="10"/>
      <x:c r="J86" s="11"/>
    </x:row>
    <x:row r="87">
      <x:c r="G87" s="11"/>
      <x:c r="H87" s="10"/>
      <x:c r="J87" s="11"/>
    </x:row>
    <x:row r="88">
      <x:c r="G88" s="11"/>
      <x:c r="H88" s="10"/>
      <x:c r="J88" s="11"/>
    </x:row>
    <x:row r="89">
      <x:c r="G89" s="11"/>
      <x:c r="H89" s="10"/>
      <x:c r="J89" s="11"/>
    </x:row>
    <x:row r="90">
      <x:c r="G90" s="11"/>
      <x:c r="H90" s="10"/>
      <x:c r="J90" s="11"/>
    </x:row>
    <x:row r="91">
      <x:c r="G91" s="11"/>
      <x:c r="H91" s="10"/>
      <x:c r="J91" s="11"/>
    </x:row>
    <x:row r="92">
      <x:c r="G92" s="11"/>
      <x:c r="H92" s="10"/>
      <x:c r="J92" s="11"/>
    </x:row>
    <x:row r="93">
      <x:c r="G93" s="11"/>
      <x:c r="H93" s="10"/>
      <x:c r="J93" s="11"/>
    </x:row>
    <x:row r="94">
      <x:c r="G94" s="11"/>
      <x:c r="H94" s="10"/>
      <x:c r="J94" s="11"/>
    </x:row>
    <x:row r="95">
      <x:c r="G95" s="11"/>
      <x:c r="H95" s="10"/>
      <x:c r="J95" s="11"/>
    </x:row>
    <x:row r="96">
      <x:c r="G96" s="11"/>
      <x:c r="H96" s="10"/>
      <x:c r="J96" s="11"/>
    </x:row>
    <x:row r="97">
      <x:c r="G97" s="11"/>
      <x:c r="H97" s="10"/>
      <x:c r="J97" s="11"/>
    </x:row>
    <x:row r="98">
      <x:c r="G98" s="11"/>
      <x:c r="H98" s="10"/>
      <x:c r="J98" s="11"/>
    </x:row>
    <x:row r="99">
      <x:c r="G99" s="11"/>
      <x:c r="H99" s="10"/>
      <x:c r="J99" s="11"/>
    </x:row>
    <x:row r="100">
      <x:c r="G100" s="11"/>
      <x:c r="H100" s="10"/>
      <x:c r="J100" s="11"/>
    </x:row>
    <x:row r="101">
      <x:c r="G101" s="11"/>
      <x:c r="H101" s="10"/>
      <x:c r="J101" s="11"/>
    </x:row>
    <x:row r="102">
      <x:c r="G102" s="11"/>
      <x:c r="H102" s="10"/>
      <x:c r="J102" s="11"/>
    </x:row>
    <x:row r="103">
      <x:c r="G103" s="11"/>
      <x:c r="H103" s="10"/>
      <x:c r="J103" s="11"/>
    </x:row>
    <x:row r="104">
      <x:c r="G104" s="11"/>
      <x:c r="H104" s="10"/>
      <x:c r="J104" s="11"/>
    </x:row>
    <x:row r="105">
      <x:c r="G105" s="11"/>
      <x:c r="H105" s="10"/>
      <x:c r="J105" s="11"/>
    </x:row>
    <x:row r="106">
      <x:c r="G106" s="11"/>
      <x:c r="H106" s="10"/>
      <x:c r="J106" s="11"/>
    </x:row>
    <x:row r="107">
      <x:c r="G107" s="11"/>
      <x:c r="H107" s="10"/>
      <x:c r="J107" s="11"/>
    </x:row>
    <x:row r="108">
      <x:c r="G108" s="11"/>
      <x:c r="H108" s="10"/>
      <x:c r="J108" s="11"/>
    </x:row>
    <x:row r="109">
      <x:c r="G109" s="11"/>
      <x:c r="H109" s="10"/>
      <x:c r="J109" s="11"/>
    </x:row>
    <x:row r="110">
      <x:c r="G110" s="11"/>
      <x:c r="H110" s="10"/>
      <x:c r="J110" s="11"/>
    </x:row>
    <x:row r="111">
      <x:c r="G111" s="11"/>
      <x:c r="H111" s="10"/>
      <x:c r="J111" s="11"/>
    </x:row>
    <x:row r="112">
      <x:c r="G112" s="11"/>
      <x:c r="H112" s="10"/>
      <x:c r="J112" s="11"/>
    </x:row>
    <x:row r="113">
      <x:c r="G113" s="11"/>
      <x:c r="H113" s="10"/>
      <x:c r="J113" s="11"/>
    </x:row>
    <x:row r="114">
      <x:c r="G114" s="11"/>
      <x:c r="H114" s="10"/>
      <x:c r="J114" s="11"/>
    </x:row>
    <x:row r="115">
      <x:c r="G115" s="11"/>
      <x:c r="H115" s="10"/>
      <x:c r="J115" s="11"/>
    </x:row>
    <x:row r="116">
      <x:c r="G116" s="11"/>
      <x:c r="H116" s="10"/>
      <x:c r="J116" s="11"/>
    </x:row>
    <x:row r="117">
      <x:c r="G117" s="11"/>
      <x:c r="H117" s="10"/>
      <x:c r="J117" s="11"/>
    </x:row>
    <x:row r="118">
      <x:c r="G118" s="11"/>
      <x:c r="H118" s="10"/>
      <x:c r="J118" s="11"/>
    </x:row>
    <x:row r="119">
      <x:c r="G119" s="11"/>
      <x:c r="H119" s="10"/>
      <x:c r="J119" s="11"/>
    </x:row>
    <x:row r="120">
      <x:c r="G120" s="11"/>
      <x:c r="H120" s="10"/>
      <x:c r="J120" s="11"/>
    </x:row>
    <x:row r="121">
      <x:c r="G121" s="11"/>
      <x:c r="H121" s="10"/>
      <x:c r="J121" s="11"/>
    </x:row>
    <x:row r="122">
      <x:c r="G122" s="11"/>
      <x:c r="H122" s="10"/>
      <x:c r="J122" s="11"/>
    </x:row>
    <x:row r="123">
      <x:c r="G123" s="11"/>
      <x:c r="H123" s="10"/>
      <x:c r="J123" s="11"/>
    </x:row>
    <x:row r="124">
      <x:c r="G124" s="11"/>
      <x:c r="H124" s="10"/>
      <x:c r="J124" s="11"/>
    </x:row>
    <x:row r="125">
      <x:c r="G125" s="11"/>
      <x:c r="H125" s="10"/>
      <x:c r="J125" s="11"/>
    </x:row>
    <x:row r="126">
      <x:c r="G126" s="11"/>
      <x:c r="H126" s="10"/>
      <x:c r="J126" s="11"/>
    </x:row>
    <x:row r="127">
      <x:c r="G127" s="11"/>
      <x:c r="H127" s="10"/>
      <x:c r="J127" s="11"/>
    </x:row>
    <x:row r="128">
      <x:c r="G128" s="11"/>
      <x:c r="H128" s="10"/>
      <x:c r="J128" s="11"/>
    </x:row>
    <x:row r="129">
      <x:c r="G129" s="11"/>
      <x:c r="H129" s="10"/>
      <x:c r="J129" s="11"/>
    </x:row>
    <x:row r="130">
      <x:c r="G130" s="11"/>
      <x:c r="H130" s="10"/>
      <x:c r="J130" s="11"/>
    </x:row>
    <x:row r="131">
      <x:c r="G131" s="11"/>
      <x:c r="H131" s="10"/>
      <x:c r="J131" s="11"/>
    </x:row>
    <x:row r="132">
      <x:c r="G132" s="11"/>
      <x:c r="H132" s="10"/>
      <x:c r="J132" s="11"/>
    </x:row>
    <x:row r="133">
      <x:c r="G133" s="11"/>
      <x:c r="H133" s="10"/>
      <x:c r="J133" s="11"/>
    </x:row>
    <x:row r="134">
      <x:c r="G134" s="11"/>
      <x:c r="H134" s="10"/>
      <x:c r="J134" s="11"/>
    </x:row>
    <x:row r="135">
      <x:c r="G135" s="11"/>
      <x:c r="H135" s="10"/>
      <x:c r="J135" s="11"/>
    </x:row>
    <x:row r="136">
      <x:c r="G136" s="11"/>
      <x:c r="H136" s="10"/>
      <x:c r="J136" s="11"/>
    </x:row>
    <x:row r="137">
      <x:c r="G137" s="11"/>
      <x:c r="H137" s="10"/>
      <x:c r="J137" s="11"/>
    </x:row>
    <x:row r="138">
      <x:c r="G138" s="11"/>
      <x:c r="H138" s="10"/>
      <x:c r="J138" s="11"/>
    </x:row>
    <x:row r="139">
      <x:c r="G139" s="11"/>
      <x:c r="H139" s="10"/>
      <x:c r="J139" s="11"/>
    </x:row>
    <x:row r="140">
      <x:c r="G140" s="11"/>
      <x:c r="H140" s="10"/>
      <x:c r="J140" s="11"/>
    </x:row>
    <x:row r="141">
      <x:c r="G141" s="11"/>
      <x:c r="H141" s="10"/>
      <x:c r="J141" s="11"/>
    </x:row>
    <x:row r="142">
      <x:c r="G142" s="11"/>
      <x:c r="H142" s="10"/>
      <x:c r="J142" s="11"/>
    </x:row>
    <x:row r="143">
      <x:c r="G143" s="11"/>
      <x:c r="H143" s="10"/>
      <x:c r="J143" s="11"/>
    </x:row>
    <x:row r="144">
      <x:c r="G144" s="11"/>
      <x:c r="H144" s="10"/>
      <x:c r="J144" s="11"/>
    </x:row>
    <x:row r="145">
      <x:c r="G145" s="11"/>
      <x:c r="H145" s="10"/>
      <x:c r="J145" s="11"/>
    </x:row>
    <x:row r="146">
      <x:c r="G146" s="11"/>
      <x:c r="H146" s="10"/>
      <x:c r="J146" s="11"/>
    </x:row>
    <x:row r="147">
      <x:c r="G147" s="11"/>
      <x:c r="H147" s="10"/>
      <x:c r="J147" s="11"/>
    </x:row>
    <x:row r="148">
      <x:c r="G148" s="11"/>
      <x:c r="H148" s="10"/>
      <x:c r="J148" s="11"/>
    </x:row>
    <x:row r="149">
      <x:c r="G149" s="11"/>
      <x:c r="H149" s="10"/>
      <x:c r="J149" s="11"/>
    </x:row>
    <x:row r="150">
      <x:c r="G150" s="11"/>
      <x:c r="H150" s="10"/>
      <x:c r="J150" s="11"/>
    </x:row>
    <x:row r="151">
      <x:c r="G151" s="11"/>
      <x:c r="H151" s="10"/>
      <x:c r="J151" s="11"/>
    </x:row>
    <x:row r="152">
      <x:c r="G152" s="11"/>
      <x:c r="H152" s="10"/>
      <x:c r="J152" s="11"/>
    </x:row>
    <x:row r="153">
      <x:c r="G153" s="11"/>
      <x:c r="H153" s="10"/>
      <x:c r="J153" s="11"/>
    </x:row>
    <x:row r="154">
      <x:c r="G154" s="11"/>
      <x:c r="H154" s="10"/>
      <x:c r="J154" s="11"/>
    </x:row>
    <x:row r="155">
      <x:c r="G155" s="11"/>
      <x:c r="H155" s="10"/>
      <x:c r="J155" s="11"/>
    </x:row>
    <x:row r="156">
      <x:c r="G156" s="11"/>
      <x:c r="H156" s="10"/>
      <x:c r="J156" s="11"/>
    </x:row>
    <x:row r="157">
      <x:c r="G157" s="11"/>
      <x:c r="H157" s="10"/>
      <x:c r="J157" s="11"/>
    </x:row>
    <x:row r="158">
      <x:c r="G158" s="11"/>
      <x:c r="H158" s="10"/>
      <x:c r="J158" s="11"/>
    </x:row>
    <x:row r="159">
      <x:c r="G159" s="11"/>
      <x:c r="H159" s="10"/>
      <x:c r="J159" s="11"/>
    </x:row>
    <x:row r="160">
      <x:c r="G160" s="11"/>
      <x:c r="H160" s="10"/>
      <x:c r="J160" s="11"/>
    </x:row>
    <x:row r="161">
      <x:c r="G161" s="11"/>
      <x:c r="H161" s="10"/>
      <x:c r="J161" s="11"/>
    </x:row>
    <x:row r="162">
      <x:c r="G162" s="11"/>
      <x:c r="H162" s="10"/>
      <x:c r="J162" s="11"/>
    </x:row>
    <x:row r="163">
      <x:c r="G163" s="11"/>
      <x:c r="H163" s="10"/>
      <x:c r="J163" s="11"/>
    </x:row>
    <x:row r="164">
      <x:c r="G164" s="11"/>
      <x:c r="H164" s="10"/>
      <x:c r="J164" s="11"/>
    </x:row>
    <x:row r="165">
      <x:c r="G165" s="11"/>
      <x:c r="H165" s="10"/>
      <x:c r="J165" s="11"/>
    </x:row>
    <x:row r="166">
      <x:c r="G166" s="11"/>
      <x:c r="H166" s="10"/>
      <x:c r="J166" s="11"/>
    </x:row>
    <x:row r="167">
      <x:c r="G167" s="11"/>
      <x:c r="H167" s="10"/>
      <x:c r="J167" s="11"/>
    </x:row>
    <x:row r="168">
      <x:c r="G168" s="11"/>
      <x:c r="H168" s="10"/>
      <x:c r="J168" s="11"/>
    </x:row>
    <x:row r="169">
      <x:c r="G169" s="11"/>
      <x:c r="H169" s="10"/>
      <x:c r="J169" s="11"/>
    </x:row>
    <x:row r="170">
      <x:c r="G170" s="11"/>
      <x:c r="H170" s="10"/>
      <x:c r="J170" s="11"/>
    </x:row>
    <x:row r="171">
      <x:c r="G171" s="11"/>
      <x:c r="H171" s="10"/>
      <x:c r="J171" s="11"/>
    </x:row>
    <x:row r="172">
      <x:c r="G172" s="11"/>
      <x:c r="H172" s="10"/>
      <x:c r="J172" s="11"/>
    </x:row>
    <x:row r="173">
      <x:c r="G173" s="11"/>
      <x:c r="H173" s="10"/>
      <x:c r="J173" s="11"/>
    </x:row>
    <x:row r="174">
      <x:c r="G174" s="11"/>
      <x:c r="H174" s="10"/>
      <x:c r="J174" s="11"/>
    </x:row>
    <x:row r="175">
      <x:c r="G175" s="11"/>
      <x:c r="H175" s="10"/>
      <x:c r="J175" s="11"/>
    </x:row>
    <x:row r="176">
      <x:c r="G176" s="11"/>
      <x:c r="H176" s="10"/>
      <x:c r="J176" s="11"/>
    </x:row>
    <x:row r="177">
      <x:c r="G177" s="11"/>
      <x:c r="H177" s="10"/>
      <x:c r="J177" s="11"/>
    </x:row>
    <x:row r="178">
      <x:c r="G178" s="11"/>
      <x:c r="H178" s="10"/>
      <x:c r="J178" s="11"/>
    </x:row>
    <x:row r="179">
      <x:c r="G179" s="11"/>
      <x:c r="H179" s="10"/>
      <x:c r="J179" s="11"/>
    </x:row>
    <x:row r="180">
      <x:c r="G180" s="11"/>
      <x:c r="H180" s="10"/>
      <x:c r="J180" s="11"/>
    </x:row>
    <x:row r="181">
      <x:c r="G181" s="11"/>
      <x:c r="H181" s="10"/>
      <x:c r="J181" s="11"/>
    </x:row>
    <x:row r="182">
      <x:c r="G182" s="11"/>
      <x:c r="H182" s="10"/>
      <x:c r="J182" s="11"/>
    </x:row>
    <x:row r="183">
      <x:c r="G183" s="11"/>
      <x:c r="H183" s="10"/>
      <x:c r="J183" s="11"/>
    </x:row>
    <x:row r="184">
      <x:c r="G184" s="11"/>
      <x:c r="H184" s="10"/>
      <x:c r="J184" s="11"/>
    </x:row>
    <x:row r="185">
      <x:c r="G185" s="11"/>
      <x:c r="H185" s="10"/>
      <x:c r="J185" s="11"/>
    </x:row>
    <x:row r="186">
      <x:c r="G186" s="11"/>
      <x:c r="H186" s="10"/>
      <x:c r="J186" s="11"/>
    </x:row>
    <x:row r="187">
      <x:c r="G187" s="11"/>
      <x:c r="H187" s="10"/>
      <x:c r="J187" s="11"/>
    </x:row>
    <x:row r="188">
      <x:c r="G188" s="11"/>
      <x:c r="H188" s="10"/>
      <x:c r="J188" s="11"/>
    </x:row>
    <x:row r="189">
      <x:c r="G189" s="11"/>
      <x:c r="H189" s="10"/>
      <x:c r="J189" s="11"/>
    </x:row>
    <x:row r="190">
      <x:c r="G190" s="11"/>
      <x:c r="H190" s="10"/>
      <x:c r="J190" s="11"/>
    </x:row>
    <x:row r="191">
      <x:c r="G191" s="11"/>
      <x:c r="H191" s="10"/>
      <x:c r="J191" s="11"/>
    </x:row>
    <x:row r="192">
      <x:c r="G192" s="11"/>
      <x:c r="H192" s="10"/>
      <x:c r="J192" s="11"/>
    </x:row>
    <x:row r="193">
      <x:c r="G193" s="11"/>
      <x:c r="H193" s="10"/>
      <x:c r="J193" s="11"/>
    </x:row>
    <x:row r="194">
      <x:c r="G194" s="11"/>
      <x:c r="H194" s="10"/>
      <x:c r="J194" s="11"/>
    </x:row>
    <x:row r="195">
      <x:c r="G195" s="11"/>
      <x:c r="H195" s="10"/>
      <x:c r="J195" s="11"/>
    </x:row>
    <x:row r="196">
      <x:c r="G196" s="11"/>
      <x:c r="H196" s="10"/>
      <x:c r="J196" s="11"/>
    </x:row>
    <x:row r="197">
      <x:c r="G197" s="11"/>
      <x:c r="H197" s="10"/>
      <x:c r="J197" s="11"/>
    </x:row>
    <x:row r="198">
      <x:c r="G198" s="11"/>
      <x:c r="H198" s="10"/>
      <x:c r="J198" s="11"/>
    </x:row>
    <x:row r="199">
      <x:c r="G199" s="11"/>
      <x:c r="H199" s="10"/>
      <x:c r="J199" s="11"/>
    </x:row>
    <x:row r="200">
      <x:c r="G200" s="11"/>
      <x:c r="H200" s="10"/>
      <x:c r="J200" s="11"/>
    </x:row>
    <x:row r="201">
      <x:c r="G201" s="11"/>
      <x:c r="H201" s="10"/>
      <x:c r="J201" s="11"/>
    </x:row>
    <x:row r="202">
      <x:c r="G202" s="11"/>
      <x:c r="H202" s="10"/>
      <x:c r="J202" s="11"/>
    </x:row>
    <x:row r="203">
      <x:c r="G203" s="11"/>
      <x:c r="H203" s="10"/>
      <x:c r="J203" s="11"/>
    </x:row>
    <x:row r="204">
      <x:c r="G204" s="11"/>
      <x:c r="H204" s="10"/>
      <x:c r="J204" s="11"/>
    </x:row>
  </x:sheetData>
  <x:mergeCells>
    <x:mergeCell ref="A1:L1"/>
    <x:mergeCell ref="A2:L2"/>
  </x:mergeCells>
  <x:dataValidations count="1">
    <x:dataValidation type="list" sqref="I5:I204">
      <x:formula1>"Not Started,In Review,In Progress,Complete,Planned,Backlog,Blocked"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ecc3d2f1bf43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8" hidden="0" customWidth="1"/>
    <x:col min="4" max="4" width="38" hidden="0" customWidth="1"/>
    <x:col min="5" max="5" width="34" hidden="0" customWidth="1"/>
    <x:col min="6" max="6" width="30" hidden="0" customWidth="1"/>
  </x:cols>
  <x:sheetData>
    <x:row r="1" ht="30" customHeight="1">
      <x:c r="A1" s="3" t="str">
        <x:v>Data Dictionary and Update Rules</x:v>
      </x:c>
    </x:row>
    <x:row r="2" ht="34" customHeight="1">
      <x:c r="A2" s="7" t="str">
        <x:v>Definitions designed to make future human and AI-assisted updates consistent and auditable.</x:v>
      </x:c>
    </x:row>
    <x:row r="4">
      <x:c r="A4" s="37" t="str">
        <x:v>Field</x:v>
      </x:c>
      <x:c r="B4" s="37" t="str">
        <x:v>Required?</x:v>
      </x:c>
      <x:c r="C4" s="37" t="str">
        <x:v>Allowed / Example Values</x:v>
      </x:c>
      <x:c r="D4" s="37" t="str">
        <x:v>Definition</x:v>
      </x:c>
      <x:c r="E4" s="37" t="str">
        <x:v>Update Rule</x:v>
      </x:c>
      <x:c r="F4" s="37" t="str">
        <x:v>Notes</x:v>
      </x:c>
    </x:row>
    <x:row r="5">
      <x:c r="A5" s="34" t="str">
        <x:v>Stable ID</x:v>
      </x:c>
      <x:c r="B5" s="34" t="str">
        <x:v>Yes</x:v>
      </x:c>
      <x:c r="C5" s="34" t="str">
        <x:v>PLAT-001, PAGE-010, PLAY-02, TOOL-032, MOD-INT-250</x:v>
      </x:c>
      <x:c r="D5" s="34" t="str">
        <x:v>Permanent machine-friendly identifier</x:v>
      </x:c>
      <x:c r="E5" s="34" t="str">
        <x:v>Never reuse or change after release</x:v>
      </x:c>
      <x:c r="F5" s="34" t="str">
        <x:v>Visible titles may change; IDs should not</x:v>
      </x:c>
    </x:row>
    <x:row r="6">
      <x:c r="A6" s="35" t="str">
        <x:v>Parity Status</x:v>
      </x:c>
      <x:c r="B6" s="35" t="str">
        <x:v>Yes</x:v>
      </x:c>
      <x:c r="C6" s="35" t="str">
        <x:v>Same; Adapted; Limited; Not Available; Foundation Only; Full Only; Needs Review</x:v>
      </x:c>
      <x:c r="D6" s="35" t="str">
        <x:v>Relationship between editions</x:v>
      </x:c>
      <x:c r="E6" s="35" t="str">
        <x:v>Update after every scope or access decision</x:v>
      </x:c>
      <x:c r="F6" s="35" t="str">
        <x:v>Does not indicate quality</x:v>
      </x:c>
    </x:row>
    <x:row r="7">
      <x:c r="A7" s="35" t="str">
        <x:v>Change Needed</x:v>
      </x:c>
      <x:c r="B7" s="35" t="str">
        <x:v>Yes</x:v>
      </x:c>
      <x:c r="C7" s="35" t="str">
        <x:v>No; Yes; Review; TBD</x:v>
      </x:c>
      <x:c r="D7" s="35" t="str">
        <x:v>Whether implementation or a decision is needed</x:v>
      </x:c>
      <x:c r="E7" s="35" t="str">
        <x:v>Set to Yes only with acceptance criteria</x:v>
      </x:c>
      <x:c r="F7" s="35" t="str">
        <x:v>Use Review for uncertain scope</x:v>
      </x:c>
    </x:row>
    <x:row r="8">
      <x:c r="A8" s="35" t="str">
        <x:v>Work Status</x:v>
      </x:c>
      <x:c r="B8" s="35" t="str">
        <x:v>Yes</x:v>
      </x:c>
      <x:c r="C8" s="35" t="str">
        <x:v>Not Started; In Review; In Progress; Complete; Planned; Backlog; Blocked</x:v>
      </x:c>
      <x:c r="D8" s="35" t="str">
        <x:v>Implementation state</x:v>
      </x:c>
      <x:c r="E8" s="35" t="str">
        <x:v>Complete only after validation</x:v>
      </x:c>
      <x:c r="F8" s="35" t="str">
        <x:v>Separate from approval</x:v>
      </x:c>
    </x:row>
    <x:row r="9">
      <x:c r="A9" s="35" t="str">
        <x:v>Target Version</x:v>
      </x:c>
      <x:c r="B9" s="35" t="str">
        <x:v>Yes</x:v>
      </x:c>
      <x:c r="C9" s="35" t="str">
        <x:v>0.9; 1.0; 1.1; Org 1.0; TBD</x:v>
      </x:c>
      <x:c r="D9" s="35" t="str">
        <x:v>Planned release containing change</x:v>
      </x:c>
      <x:c r="E9" s="35" t="str">
        <x:v>Assign before scheduling development</x:v>
      </x:c>
      <x:c r="F9" s="35" t="str">
        <x:v>Use named tiers consistently</x:v>
      </x:c>
    </x:row>
    <x:row r="10">
      <x:c r="A10" s="35" t="str">
        <x:v>First Released Version</x:v>
      </x:c>
      <x:c r="B10" s="35" t="str">
        <x:v>When released</x:v>
      </x:c>
      <x:c r="C10" s="35" t="str">
        <x:v>0.9, 1.0</x:v>
      </x:c>
      <x:c r="D10" s="35" t="str">
        <x:v>First public/product release containing the item</x:v>
      </x:c>
      <x:c r="E10" s="35" t="str">
        <x:v>Never overwrite</x:v>
      </x:c>
      <x:c r="F10" s="35" t="str">
        <x:v>Blank means not yet released</x:v>
      </x:c>
    </x:row>
    <x:row r="11">
      <x:c r="A11" s="35" t="str">
        <x:v>Last Changed Version</x:v>
      </x:c>
      <x:c r="B11" s="35" t="str">
        <x:v>When changed</x:v>
      </x:c>
      <x:c r="C11" s="35" t="str">
        <x:v>0.9, 1.0, 1.1</x:v>
      </x:c>
      <x:c r="D11" s="35" t="str">
        <x:v>Most recent release with a substantive change</x:v>
      </x:c>
      <x:c r="E11" s="35" t="str">
        <x:v>Update only for user-visible or logic changes</x:v>
      </x:c>
      <x:c r="F11" s="35" t="str">
        <x:v>Editorial typo fixes may be logged separately</x:v>
      </x:c>
    </x:row>
    <x:row r="12">
      <x:c r="A12" s="35" t="str">
        <x:v>Change Notes / Acceptance Criteria</x:v>
      </x:c>
      <x:c r="B12" s="35" t="str">
        <x:v>If change needed</x:v>
      </x:c>
      <x:c r="C12" s="35" t="str">
        <x:v>Specific observable result</x:v>
      </x:c>
      <x:c r="D12" s="35" t="str">
        <x:v>Defines done</x:v>
      </x:c>
      <x:c r="E12" s="35" t="str">
        <x:v>Write testable language</x:v>
      </x:c>
      <x:c r="F12" s="35" t="str">
        <x:v>Include edition link behavior</x:v>
      </x:c>
    </x:row>
    <x:row r="13">
      <x:c r="A13" s="35" t="str">
        <x:v>Full / Foundation Route</x:v>
      </x:c>
      <x:c r="B13" s="35" t="str">
        <x:v>When applicable</x:v>
      </x:c>
      <x:c r="C13" s="35" t="str">
        <x:v>#/toolkit/32; mvp/tool.html?play=8</x:v>
      </x:c>
      <x:c r="D13" s="35" t="str">
        <x:v>Edition-local destination or source</x:v>
      </x:c>
      <x:c r="E13" s="35" t="str">
        <x:v>Never point a Foundation user into Full unless explicitly labeled</x:v>
      </x:c>
      <x:c r="F13" s="35" t="str">
        <x:v>Prefer route helpers over hardcoded URLs</x:v>
      </x:c>
    </x:row>
    <x:row r="14">
      <x:c r="A14" s="35" t="str">
        <x:v>Owner</x:v>
      </x:c>
      <x:c r="B14" s="35" t="str">
        <x:v>Before work begins</x:v>
      </x:c>
      <x:c r="C14" s="35" t="str">
        <x:v>Person or accountable team</x:v>
      </x:c>
      <x:c r="D14" s="35" t="str">
        <x:v>Who is responsible for delivery</x:v>
      </x:c>
      <x:c r="E14" s="35" t="str">
        <x:v>Do not use vague department names when a role is known</x:v>
      </x:c>
      <x:c r="F14" s="35" t="str">
        <x:v>Can remain blank during backlog</x:v>
      </x:c>
    </x:row>
    <x:row r="15">
      <x:c r="A15" s="35" t="str">
        <x:v>Last Reviewed</x:v>
      </x:c>
      <x:c r="B15" s="35" t="str">
        <x:v>Yes</x:v>
      </x:c>
      <x:c r="C15" s="35" t="str">
        <x:v>YYYY-MM-DD</x:v>
      </x:c>
      <x:c r="D15" s="35" t="str">
        <x:v>Date row was last compared with repository and live site</x:v>
      </x:c>
      <x:c r="E15" s="35" t="str">
        <x:v>Update after crosswalk review</x:v>
      </x:c>
      <x:c r="F15" s="35" t="str">
        <x:v>Not the same as implementation date</x:v>
      </x:c>
    </x:row>
    <x:row r="16">
      <x:c r="A16" s="36" t="str">
        <x:v>Version naming recommendation</x:v>
      </x:c>
      <x:c r="B16" s="36" t="str">
        <x:v>Yes</x:v>
      </x:c>
      <x:c r="C16" s="36" t="str">
        <x:v>Foundation 0.9 → Foundation 1.0; Organization 1.0; Enterprise 1.0</x:v>
      </x:c>
      <x:c r="D16" s="36" t="str">
        <x:v>Product release naming convention</x:v>
      </x:c>
      <x:c r="E16" s="36" t="str">
        <x:v>Confirm commercial names before launch</x:v>
      </x:c>
      <x:c r="F16" s="36" t="str">
        <x:v>Workbook supports either numeric or named versions</x:v>
      </x:c>
    </x:row>
  </x:sheetData>
  <x:mergeCells>
    <x:mergeCell ref="A1:F1"/>
    <x:mergeCell ref="A2:F2"/>
  </x:mergeCells>
  <x:pageMargins left="0.7" right="0.7" top="0.75" bottom="0.75" header="0.3" footer="0.3"/>
</x:worksheet>
</file>