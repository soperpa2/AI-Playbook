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129d0874b0e4690" /></Relationships>
</file>

<file path=xl/workbook.xml><?xml version="1.0" encoding="utf-8"?>
<x:workbook xmlns:x="http://schemas.openxmlformats.org/spreadsheetml/2006/main">
  <x:sheets>
    <x:sheet xmlns:r="http://schemas.openxmlformats.org/officeDocument/2006/relationships" name="Summary" sheetId="1" r:id="Re9d98f8d582a4c8d"/>
    <x:sheet xmlns:r="http://schemas.openxmlformats.org/officeDocument/2006/relationships" name="Assumptions" sheetId="2" r:id="Re42da2a50d264543"/>
    <x:sheet xmlns:r="http://schemas.openxmlformats.org/officeDocument/2006/relationships" name="Scenarios" sheetId="3" r:id="R7f786950221b4aa6"/>
    <x:sheet xmlns:r="http://schemas.openxmlformats.org/officeDocument/2006/relationships" name="Monthly Cash Flow" sheetId="4" r:id="Rdc264bb066b0490c"/>
    <x:sheet xmlns:r="http://schemas.openxmlformats.org/officeDocument/2006/relationships" name="Sources" sheetId="5" r:id="R4055c76457e740a1"/>
    <x:sheet xmlns:r="http://schemas.openxmlformats.org/officeDocument/2006/relationships" name="Checks" sheetId="6" r:id="R13f48376546d490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quot;$&quot;#,##0;[Red](&quot;$&quot;#,##0);-"/>
    <x:numFmt numFmtId="201" formatCode="0%"/>
    <x:numFmt numFmtId="202" formatCode="0.0%"/>
  </x:numFmts>
  <x:fonts count="7">
    <x:font>
      <x:sz val="11"/>
      <x:name val="Carlito"/>
    </x:font>
    <x:font>
      <x:b/>
      <x:sz val="20"/>
      <x:color rgb="FFFFFFFF"/>
      <x:name val="Carlito"/>
    </x:font>
    <x:font>
      <x:sz val="10"/>
      <x:color rgb="FF5B6873"/>
      <x:name val="Carlito"/>
    </x:font>
    <x:font>
      <x:b/>
      <x:sz val="11"/>
      <x:color rgb="FF073763"/>
      <x:name val="Carlito"/>
    </x:font>
    <x:font>
      <x:b/>
      <x:sz val="11"/>
      <x:color rgb="FFFFFFFF"/>
      <x:name val="Carlito"/>
    </x:font>
    <x:font>
      <x:sz val="11"/>
      <x:color rgb="FF5B6873"/>
      <x:name val="Carlito"/>
    </x:font>
    <x:font>
      <x:b/>
      <x:sz val="14"/>
      <x:color rgb="FFFFFFFF"/>
      <x:name val="Carlito"/>
    </x:font>
  </x:fonts>
  <x:fills count="8">
    <x:fill>
      <x:patternFill patternType="none"/>
    </x:fill>
    <x:fill>
      <x:patternFill patternType="gray125"/>
    </x:fill>
    <x:fill>
      <x:patternFill patternType="solid">
        <x:fgColor rgb="FF073763"/>
      </x:patternFill>
    </x:fill>
    <x:fill>
      <x:patternFill patternType="solid">
        <x:fgColor rgb="FFEAF3F8"/>
      </x:patternFill>
    </x:fill>
    <x:fill>
      <x:patternFill patternType="solid">
        <x:fgColor rgb="FFFFF4CC"/>
      </x:patternFill>
    </x:fill>
    <x:fill>
      <x:patternFill patternType="solid">
        <x:fgColor rgb="FF0068B7"/>
      </x:patternFill>
    </x:fill>
    <x:fill>
      <x:patternFill patternType="solid">
        <x:fgColor rgb="FF2E8B3C"/>
      </x:patternFill>
    </x:fill>
    <x:fill>
      <x:patternFill patternType="solid">
        <x:fgColor rgb="FFFFF4D6"/>
      </x:patternFill>
    </x:fill>
  </x:fills>
  <x:borders count="18">
    <x:border/>
    <x:border>
      <x:left style="thin">
        <x:color rgb="FFCBD6DE"/>
      </x:left>
      <x:top style="thin">
        <x:color rgb="FFCBD6DE"/>
      </x:top>
      <x:bottom style="thin">
        <x:color rgb="FFCBD6DE"/>
      </x:bottom>
    </x:border>
    <x:border>
      <x:right style="thin">
        <x:color rgb="FFCBD6DE"/>
      </x:right>
      <x:top style="thin">
        <x:color rgb="FFCBD6DE"/>
      </x:top>
      <x:bottom style="thin">
        <x:color rgb="FFCBD6DE"/>
      </x:bottom>
    </x:border>
    <x:border>
      <x:right style="thin">
        <x:color rgb="FFFFFFFF"/>
      </x:right>
    </x:border>
    <x:border>
      <x:left style="thin">
        <x:color rgb="FFFFFFFF"/>
      </x:left>
    </x:border>
    <x:border>
      <x:left style="medium">
        <x:color rgb="FF2E8B3C"/>
      </x:left>
      <x:top style="medium">
        <x:color rgb="FF2E8B3C"/>
      </x:top>
      <x:bottom style="medium">
        <x:color rgb="FF2E8B3C"/>
      </x:bottom>
    </x:border>
    <x:border>
      <x:right style="medium">
        <x:color rgb="FF2E8B3C"/>
      </x:right>
      <x:top style="medium">
        <x:color rgb="FF2E8B3C"/>
      </x:top>
      <x:bottom style="medium">
        <x:color rgb="FF2E8B3C"/>
      </x:bottom>
    </x:border>
    <x:border>
      <x:bottom style="thin">
        <x:color rgb="FFCBD6DE"/>
      </x:bottom>
    </x:border>
    <x:border>
      <x:left style="thin">
        <x:color rgb="FFE6C65C"/>
      </x:left>
      <x:top style="thin">
        <x:color rgb="FFE6C65C"/>
      </x:top>
    </x:border>
    <x:border>
      <x:top style="thin">
        <x:color rgb="FFE6C65C"/>
      </x:top>
    </x:border>
    <x:border>
      <x:right style="thin">
        <x:color rgb="FFE6C65C"/>
      </x:right>
      <x:top style="thin">
        <x:color rgb="FFE6C65C"/>
      </x:top>
    </x:border>
    <x:border>
      <x:left style="thin">
        <x:color rgb="FFE6C65C"/>
      </x:left>
    </x:border>
    <x:border>
      <x:right style="thin">
        <x:color rgb="FFE6C65C"/>
      </x:right>
    </x:border>
    <x:border>
      <x:left style="thin">
        <x:color rgb="FFE6C65C"/>
      </x:left>
      <x:bottom style="thin">
        <x:color rgb="FFE6C65C"/>
      </x:bottom>
    </x:border>
    <x:border>
      <x:bottom style="thin">
        <x:color rgb="FFE6C65C"/>
      </x:bottom>
    </x:border>
    <x:border>
      <x:right style="thin">
        <x:color rgb="FFE6C65C"/>
      </x:right>
      <x:bottom style="thin">
        <x:color rgb="FFE6C65C"/>
      </x:bottom>
    </x:border>
    <x:border>
      <x:left style="thin">
        <x:color rgb="FFFFFFFF"/>
      </x:left>
      <x:right style="thin">
        <x:color rgb="FFFFFFFF"/>
      </x:right>
    </x:border>
    <x:border>
      <x:top style="medium">
        <x:color rgb="FF2E8B3C"/>
      </x:top>
      <x:bottom style="medium">
        <x:color rgb="FF2E8B3C"/>
      </x:bottom>
    </x:border>
  </x:borders>
  <x:cellStyleXfs count="1">
    <x:xf numFmtId="0" fontId="0" fillId="0" borderId="0"/>
  </x:cellStyleXfs>
  <x:cellXfs count="7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3" xfId="0" applyNumberFormat="1" applyFont="1" applyFill="1" applyBorder="1" applyAlignment="1">
      <x:alignment vertical="center" wrapText="1"/>
    </x:xf>
    <x:xf numFmtId="0" fontId="4" fillId="5" borderId="4" xfId="0" applyNumberFormat="1" applyFont="1" applyFill="1" applyBorder="1" applyAlignment="1">
      <x:alignment vertical="center" wrapText="1"/>
    </x:xf>
    <x:xf numFmtId="200" fontId="0" fillId="0" borderId="0" xfId="0" applyNumberFormat="1" applyFont="1" applyFill="1" applyBorder="1"/>
    <x:xf numFmtId="0" fontId="0" fillId="6" borderId="0" xfId="0" applyNumberFormat="1" applyFont="1" applyFill="1" applyBorder="1"/>
    <x:xf numFmtId="200" fontId="0" fillId="6" borderId="0" xfId="0" applyNumberFormat="1" applyFont="1" applyFill="1" applyBorder="1"/>
    <x:xf numFmtId="0" fontId="4" fillId="6" borderId="0" xfId="0" applyNumberFormat="1" applyFont="1" applyFill="1" applyBorder="1"/>
    <x:xf numFmtId="200" fontId="4" fillId="6" borderId="0" xfId="0" applyNumberFormat="1" applyFont="1" applyFill="1" applyBorder="1"/>
    <x:xf numFmtId="0" fontId="4" fillId="6" borderId="5" xfId="0" applyNumberFormat="1" applyFont="1" applyFill="1" applyBorder="1"/>
    <x:xf numFmtId="200" fontId="4" fillId="6" borderId="6" xfId="0" applyNumberFormat="1" applyFont="1" applyFill="1" applyBorder="1"/>
    <x:xf numFmtId="0" fontId="3" fillId="3" borderId="0" xfId="0" applyNumberFormat="1" applyFont="1" applyFill="1" applyBorder="1"/>
    <x:xf numFmtId="0" fontId="3" fillId="3" borderId="7"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0" fillId="7" borderId="0" xfId="0" applyNumberFormat="1" applyFont="1" applyFill="1" applyBorder="1"/>
    <x:xf numFmtId="0" fontId="2" fillId="7" borderId="0" xfId="0" applyNumberFormat="1" applyFont="1" applyFill="1" applyBorder="1"/>
    <x:xf numFmtId="0" fontId="2" fillId="7" borderId="8" xfId="0" applyNumberFormat="1" applyFont="1" applyFill="1" applyBorder="1"/>
    <x:xf numFmtId="0" fontId="2" fillId="7" borderId="9" xfId="0" applyNumberFormat="1" applyFont="1" applyFill="1" applyBorder="1"/>
    <x:xf numFmtId="0" fontId="2" fillId="7" borderId="10" xfId="0" applyNumberFormat="1" applyFont="1" applyFill="1" applyBorder="1"/>
    <x:xf numFmtId="0" fontId="2" fillId="7" borderId="11" xfId="0" applyNumberFormat="1" applyFont="1" applyFill="1" applyBorder="1"/>
    <x:xf numFmtId="0" fontId="2" fillId="7" borderId="12" xfId="0" applyNumberFormat="1" applyFont="1" applyFill="1" applyBorder="1"/>
    <x:xf numFmtId="0" fontId="2" fillId="7" borderId="13" xfId="0" applyNumberFormat="1" applyFont="1" applyFill="1" applyBorder="1"/>
    <x:xf numFmtId="0" fontId="2" fillId="7" borderId="14" xfId="0" applyNumberFormat="1" applyFont="1" applyFill="1" applyBorder="1"/>
    <x:xf numFmtId="0" fontId="2" fillId="7" borderId="15" xfId="0" applyNumberFormat="1" applyFont="1" applyFill="1" applyBorder="1"/>
    <x:xf numFmtId="0" fontId="2" fillId="7" borderId="8" xfId="0" applyNumberFormat="1" applyFont="1" applyFill="1" applyBorder="1" applyAlignment="1">
      <x:alignment wrapText="1"/>
    </x:xf>
    <x:xf numFmtId="0" fontId="2" fillId="7" borderId="9" xfId="0" applyNumberFormat="1" applyFont="1" applyFill="1" applyBorder="1" applyAlignment="1">
      <x:alignment wrapText="1"/>
    </x:xf>
    <x:xf numFmtId="0" fontId="2" fillId="7" borderId="10" xfId="0" applyNumberFormat="1" applyFont="1" applyFill="1" applyBorder="1" applyAlignment="1">
      <x:alignment wrapText="1"/>
    </x:xf>
    <x:xf numFmtId="0" fontId="2" fillId="7" borderId="11" xfId="0" applyNumberFormat="1" applyFont="1" applyFill="1" applyBorder="1" applyAlignment="1">
      <x:alignment wrapText="1"/>
    </x:xf>
    <x:xf numFmtId="0" fontId="2" fillId="7" borderId="0" xfId="0" applyNumberFormat="1" applyFont="1" applyFill="1" applyBorder="1" applyAlignment="1">
      <x:alignment wrapText="1"/>
    </x:xf>
    <x:xf numFmtId="0" fontId="2" fillId="7" borderId="12" xfId="0" applyNumberFormat="1" applyFont="1" applyFill="1" applyBorder="1" applyAlignment="1">
      <x:alignment wrapText="1"/>
    </x:xf>
    <x:xf numFmtId="0" fontId="2" fillId="7" borderId="13" xfId="0" applyNumberFormat="1" applyFont="1" applyFill="1" applyBorder="1" applyAlignment="1">
      <x:alignment wrapText="1"/>
    </x:xf>
    <x:xf numFmtId="0" fontId="2" fillId="7" borderId="14" xfId="0" applyNumberFormat="1" applyFont="1" applyFill="1" applyBorder="1" applyAlignment="1">
      <x:alignment wrapText="1"/>
    </x:xf>
    <x:xf numFmtId="0" fontId="2" fillId="7" borderId="15" xfId="0" applyNumberFormat="1" applyFont="1" applyFill="1" applyBorder="1" applyAlignment="1">
      <x:alignment wrapText="1"/>
    </x:xf>
    <x:xf numFmtId="0" fontId="2" fillId="7" borderId="8" xfId="0" applyNumberFormat="1" applyFont="1" applyFill="1" applyBorder="1" applyAlignment="1">
      <x:alignment vertical="center" wrapText="1"/>
    </x:xf>
    <x:xf numFmtId="0" fontId="2" fillId="7" borderId="9" xfId="0" applyNumberFormat="1" applyFont="1" applyFill="1" applyBorder="1" applyAlignment="1">
      <x:alignment vertical="center" wrapText="1"/>
    </x:xf>
    <x:xf numFmtId="0" fontId="2" fillId="7" borderId="10" xfId="0" applyNumberFormat="1" applyFont="1" applyFill="1" applyBorder="1" applyAlignment="1">
      <x:alignment vertical="center" wrapText="1"/>
    </x:xf>
    <x:xf numFmtId="0" fontId="2" fillId="7" borderId="11"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2" fillId="7" borderId="12" xfId="0" applyNumberFormat="1" applyFont="1" applyFill="1" applyBorder="1" applyAlignment="1">
      <x:alignment vertical="center" wrapText="1"/>
    </x:xf>
    <x:xf numFmtId="0" fontId="2" fillId="7" borderId="13" xfId="0" applyNumberFormat="1" applyFont="1" applyFill="1" applyBorder="1" applyAlignment="1">
      <x:alignment vertical="center" wrapText="1"/>
    </x:xf>
    <x:xf numFmtId="0" fontId="2" fillId="7" borderId="14"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4" fillId="5" borderId="16" xfId="0" applyNumberFormat="1" applyFont="1" applyFill="1" applyBorder="1"/>
    <x:xf numFmtId="0" fontId="4" fillId="5" borderId="16" xfId="0" applyNumberFormat="1" applyFont="1" applyFill="1" applyBorder="1" applyAlignment="1">
      <x:alignment wrapText="1"/>
    </x:xf>
    <x:xf numFmtId="0" fontId="4" fillId="5" borderId="16" xfId="0" applyNumberFormat="1" applyFont="1" applyFill="1" applyBorder="1" applyAlignment="1">
      <x:alignment vertical="center" wrapText="1"/>
    </x:xf>
    <x:xf numFmtId="200" fontId="0" fillId="4" borderId="0" xfId="0" applyNumberFormat="1" applyFont="1" applyFill="1" applyBorder="1"/>
    <x:xf numFmtId="0" fontId="0" fillId="0" borderId="0" xfId="0" applyNumberFormat="1" applyFont="1" applyFill="1" applyBorder="1" applyAlignment="1">
      <x:alignment wrapText="1"/>
    </x:xf>
    <x:xf numFmtId="0" fontId="0" fillId="4" borderId="0" xfId="0" applyNumberFormat="1" applyFont="1" applyFill="1" applyBorder="1" applyAlignment="1">
      <x:alignment wrapText="1"/>
    </x:xf>
    <x:xf numFmtId="200" fontId="0" fillId="4" borderId="0" xfId="0" applyNumberFormat="1" applyFont="1" applyFill="1" applyBorder="1" applyAlignment="1">
      <x:alignment wrapText="1"/>
    </x:xf>
    <x:xf numFmtId="200" fontId="0" fillId="0" borderId="0" xfId="0" applyNumberFormat="1" applyFont="1" applyFill="1" applyBorder="1" applyAlignment="1">
      <x:alignment wrapText="1"/>
    </x:xf>
    <x:xf numFmtId="201" fontId="0" fillId="0" borderId="0" xfId="0" applyNumberFormat="1" applyFont="1" applyFill="1" applyBorder="1"/>
    <x:xf numFmtId="200" fontId="4" fillId="6" borderId="17" xfId="0" applyNumberFormat="1" applyFont="1" applyFill="1" applyBorder="1"/>
    <x:xf numFmtId="0" fontId="4" fillId="2" borderId="0" xfId="0" applyNumberFormat="1" applyFont="1" applyFill="1" applyBorder="1"/>
    <x:xf numFmtId="200" fontId="4" fillId="2" borderId="0" xfId="0" applyNumberFormat="1" applyFont="1" applyFill="1" applyBorder="1"/>
    <x:xf numFmtId="202" fontId="0" fillId="0" borderId="0" xfId="0" applyNumberFormat="1" applyFont="1" applyFill="1" applyBorder="1"/>
    <x:xf numFmtId="202" fontId="0" fillId="0" borderId="0" xfId="0" applyNumberFormat="1" applyFont="1" applyFill="1" applyBorder="1" applyAlignment="1">
      <x:alignment wrapText="1"/>
    </x:xf>
    <x:xf numFmtId="0" fontId="6" fillId="6" borderId="0" xfId="0" applyNumberFormat="1" applyFont="1" applyFill="1" applyBorder="1"/>
    <x:xf numFmtId="0" fontId="6" fillId="6" borderId="5" xfId="0" applyNumberFormat="1" applyFont="1" applyFill="1" applyBorder="1"/>
    <x:xf numFmtId="0" fontId="6" fillId="6" borderId="6"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5deb905a6a47c1" /><Relationship Type="http://schemas.openxmlformats.org/officeDocument/2006/relationships/theme" Target="/xl/theme/theme1.xml" Id="R83e9c3474eaf4d2a" /><Relationship Type="http://schemas.openxmlformats.org/officeDocument/2006/relationships/sharedStrings" Target="/xl/sharedStrings.xml" Id="R9df17779eb5d4013" /><Relationship Type="http://schemas.openxmlformats.org/officeDocument/2006/relationships/worksheet" Target="/xl/worksheets/sheet1.xml" Id="Re9d98f8d582a4c8d" /><Relationship Type="http://schemas.openxmlformats.org/officeDocument/2006/relationships/worksheet" Target="/xl/worksheets/sheet2.xml" Id="Re42da2a50d264543" /><Relationship Type="http://schemas.openxmlformats.org/officeDocument/2006/relationships/worksheet" Target="/xl/worksheets/sheet3.xml" Id="R7f786950221b4aa6" /><Relationship Type="http://schemas.openxmlformats.org/officeDocument/2006/relationships/worksheet" Target="/xl/worksheets/sheet4.xml" Id="Rdc264bb066b0490c" /><Relationship Type="http://schemas.openxmlformats.org/officeDocument/2006/relationships/worksheet" Target="/xl/worksheets/sheet5.xml" Id="R4055c76457e740a1" /><Relationship Type="http://schemas.openxmlformats.org/officeDocument/2006/relationships/worksheet" Target="/xl/worksheets/sheet6.xml" Id="R13f48376546d4907" /></Relationships>
</file>

<file path=xl/drawings/_rels/drawing1.xml.rels>&#65279;<?xml version="1.0" encoding="utf-8"?><Relationships xmlns="http://schemas.openxmlformats.org/package/2006/relationships"><Relationship Type="http://schemas.openxmlformats.org/officeDocument/2006/relationships/chart" Target="/xl/drawings/charts/chart1.xml" Id="Rf4aa67d6d2cc495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Year-one launch budget by scenario ($)</a:t>
            </a:r>
          </a:p>
        </c:rich>
      </c:tx>
      <c:overlay val="0"/>
    </c:title>
    <c:plotArea>
      <c:barChart>
        <c:barDir val="col"/>
        <c:varyColors val="0"/>
        <c:ser>
          <c:idx val="0"/>
          <c:order val="0"/>
          <c:tx>
            <c:v>Lean</c:v>
          </c:tx>
          <c:cat>
            <c:strRef>
              <c:f>'Scenarios'!$A$5:$A$9</c:f>
              <c:strCache>
                <c:ptCount val="0"/>
              </c:strCache>
            </c:strRef>
          </c:cat>
          <c:val>
            <c:numRef>
              <c:f>'Scenarios'!$B$5:$B$9</c:f>
              <c:numCache>
                <c:formatCode>"$"#,##0;[Red]("$"#,##0);-</c:formatCode>
                <c:ptCount val="0"/>
              </c:numCache>
            </c:numRef>
          </c:val>
        </c:ser>
        <c:ser>
          <c:idx val="1"/>
          <c:order val="1"/>
          <c:tx>
            <c:v>Base</c:v>
          </c:tx>
          <c:cat>
            <c:strRef>
              <c:f>'Scenarios'!$A$5:$A$9</c:f>
              <c:strCache>
                <c:ptCount val="0"/>
              </c:strCache>
            </c:strRef>
          </c:cat>
          <c:val>
            <c:numRef>
              <c:f>'Scenarios'!$C$5:$C$9</c:f>
              <c:numCache>
                <c:formatCode>"$"#,##0;[Red]("$"#,##0);-</c:formatCode>
                <c:ptCount val="0"/>
              </c:numCache>
            </c:numRef>
          </c:val>
        </c:ser>
        <c:ser>
          <c:idx val="2"/>
          <c:order val="2"/>
          <c:tx>
            <c:v>Growth</c:v>
          </c:tx>
          <c:cat>
            <c:strRef>
              <c:f>'Scenarios'!$A$5:$A$9</c:f>
              <c:strCache>
                <c:ptCount val="0"/>
              </c:strCache>
            </c:strRef>
          </c:cat>
          <c:val>
            <c:numRef>
              <c:f>'Scenarios'!$D$5:$D$9</c:f>
              <c:numCache>
                <c:formatCode>"$"#,##0;[Red]("$"#,##0);-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4aa67d6d2cc4958"/>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63330de4095e4a3a"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s>
  <x:sheetData>
    <x:row r="1" ht="34" customHeight="1">
      <x:c r="A1" s="3" t="str">
        <x:v>Foundation Edition — 12-Month Launch Budget</x:v>
      </x:c>
      <x:c r="B1" s="3"/>
      <x:c r="C1" s="3"/>
      <x:c r="D1" s="3"/>
      <x:c r="E1" s="3"/>
      <x:c r="F1" s="3"/>
      <x:c r="G1" s="3"/>
      <x:c r="H1" s="3"/>
    </x:row>
    <x:row r="2" ht="30" customHeight="1">
      <x:c r="A2" s="7" t="str">
        <x:v>Editable planning model · Version 1.0 · 2026-08-21 · USD</x:v>
      </x:c>
      <x:c r="B2" s="7"/>
      <x:c r="C2" s="7"/>
      <x:c r="D2" s="7"/>
      <x:c r="E2" s="7"/>
      <x:c r="F2" s="7"/>
      <x:c r="G2" s="7"/>
      <x:c r="H2" s="7"/>
    </x:row>
    <x:row r="4">
      <x:c r="A4" s="10" t="str">
        <x:v>Selected scenario</x:v>
      </x:c>
      <x:c r="B4" s="11" t="str">
        <x:v>Base</x:v>
      </x:c>
      <x:c r="D4" s="28" t="str">
        <x:v>Recommendation</x:v>
      </x:c>
      <x:c r="E4" s="28"/>
      <x:c r="F4" s="28"/>
      <x:c r="G4" s="28"/>
      <x:c r="H4" s="28"/>
    </x:row>
    <x:row r="5">
      <x:c r="D5" s="31" t="str">
        <x:v>Use the Base scenario for funding decisions. It assumes a secure public launch with verified accounts, multi-user persistence, accessibility and security testing, launch communications, and enough year-one support to maintain trust. The Lean case relies heavily on founder labor; Growth adds capacity for stronger outreach, support, and resilience.</x:v>
      </x:c>
      <x:c r="E5" s="31"/>
      <x:c r="F5" s="31"/>
      <x:c r="G5" s="31"/>
      <x:c r="H5" s="31"/>
    </x:row>
    <x:row r="6">
      <x:c r="A6" s="18" t="str">
        <x:v>Launch investment</x:v>
      </x:c>
      <x:c r="B6" s="19" t="str">
        <x:v>Amount</x:v>
      </x:c>
      <x:c r="D6" s="31"/>
      <x:c r="E6" s="31"/>
      <x:c r="F6" s="31"/>
      <x:c r="G6" s="31"/>
      <x:c r="H6" s="31"/>
    </x:row>
    <x:row r="7">
      <x:c r="A7" t="str">
        <x:v>One-time launch</x:v>
      </x:c>
      <x:c r="B7" s="20" t="n">
        <x:f>IF(B4="Lean",'Scenarios'!B5,IF(B4="Growth",'Scenarios'!D5,'Scenarios'!C5))</x:f>
        <x:v>189700</x:v>
      </x:c>
      <x:c r="D7" s="31"/>
      <x:c r="E7" s="31"/>
      <x:c r="F7" s="31"/>
      <x:c r="G7" s="31"/>
      <x:c r="H7" s="31"/>
    </x:row>
    <x:row r="8">
      <x:c r="A8" t="str">
        <x:v>Year-one operations</x:v>
      </x:c>
      <x:c r="B8" s="20" t="n">
        <x:f>IF(B4="Lean",'Scenarios'!B6,IF(B4="Growth",'Scenarios'!D6,'Scenarios'!C6))</x:f>
        <x:v>75990</x:v>
      </x:c>
      <x:c r="D8" s="31"/>
      <x:c r="E8" s="31"/>
      <x:c r="F8" s="31"/>
      <x:c r="G8" s="31"/>
      <x:c r="H8" s="31"/>
    </x:row>
    <x:row r="9">
      <x:c r="A9" t="str">
        <x:v>Subtotal</x:v>
      </x:c>
      <x:c r="B9" s="20" t="n">
        <x:f>SUM(B7:B8)</x:f>
        <x:v>265690</x:v>
      </x:c>
    </x:row>
    <x:row r="10">
      <x:c r="A10" t="str">
        <x:v>Contingency</x:v>
      </x:c>
      <x:c r="B10" s="20" t="n">
        <x:f>B9*IF(B4="Lean",'Scenarios'!B8,IF(B4="Growth",'Scenarios'!D8,'Scenarios'!C8))</x:f>
        <x:v>39853.5</x:v>
      </x:c>
    </x:row>
    <x:row r="11">
      <x:c r="A11" s="25" t="str">
        <x:v>Total year-one funding need</x:v>
      </x:c>
      <x:c r="B11" s="26" t="n">
        <x:f>SUM(B9:B10)</x:f>
        <x:v>305543.5</x:v>
      </x:c>
    </x:row>
    <x:row r="14">
      <x:c r="A14" s="18" t="str">
        <x:v>Base scenario mix</x:v>
      </x:c>
      <x:c r="B14" s="19" t="str">
        <x:v>Amount</x:v>
      </x:c>
    </x:row>
    <x:row r="15">
      <x:c r="A15" t="str">
        <x:v>Product &amp; engineering</x:v>
      </x:c>
      <x:c r="B15" s="20" t="n">
        <x:f>'Scenarios'!C12</x:f>
        <x:v>121960</x:v>
      </x:c>
    </x:row>
    <x:row r="16">
      <x:c r="A16" t="str">
        <x:v>Security, privacy &amp; legal</x:v>
      </x:c>
      <x:c r="B16" s="20" t="n">
        <x:f>'Scenarios'!C13</x:f>
        <x:v>35750</x:v>
      </x:c>
    </x:row>
    <x:row r="17">
      <x:c r="A17" t="str">
        <x:v>UX, accessibility &amp; QA</x:v>
      </x:c>
      <x:c r="B17" s="20" t="n">
        <x:f>'Scenarios'!C14</x:f>
        <x:v>32950</x:v>
      </x:c>
    </x:row>
    <x:row r="18">
      <x:c r="A18" t="str">
        <x:v>Content &amp; learning readiness</x:v>
      </x:c>
      <x:c r="B18" s="20" t="n">
        <x:f>'Scenarios'!C15</x:f>
        <x:v>35700</x:v>
      </x:c>
    </x:row>
    <x:row r="19">
      <x:c r="A19" t="str">
        <x:v>Launch &amp; customer development</x:v>
      </x:c>
      <x:c r="B19" s="20" t="n">
        <x:f>'Scenarios'!C16</x:f>
        <x:v>36300</x:v>
      </x:c>
    </x:row>
    <x:row r="20">
      <x:c r="A20" t="str">
        <x:v>Technology &amp; operations</x:v>
      </x:c>
      <x:c r="B20" s="20" t="n">
        <x:f>'Scenarios'!C17</x:f>
        <x:v>3030</x:v>
      </x:c>
    </x:row>
    <x:row r="21">
      <x:c r="A21" t="str">
        <x:v>Contingency</x:v>
      </x:c>
      <x:c r="B21" s="20" t="n">
        <x:f>'Scenarios'!C18</x:f>
        <x:v>39853.5</x:v>
      </x:c>
    </x:row>
    <x:row r="24">
      <x:c r="A24" s="51" t="str">
        <x:v>Budget boundary: This model covers launching and operating the Foundation Edition for 12 months. It does not include salaries already carried by another organization, development of Organization or Enterprise Edition capabilities, paid media campaigns beyond the entered allowance, collection or processing of PHI, enterprise compliance certifications, or a 24/7 support commitment. Replace contractor rates and internal labor treatment with actual quotes before approval.</x:v>
      </x:c>
      <x:c r="B24" s="52"/>
      <x:c r="C24" s="52"/>
      <x:c r="D24" s="52"/>
      <x:c r="E24" s="52"/>
      <x:c r="F24" s="52"/>
      <x:c r="G24" s="52"/>
      <x:c r="H24" s="53"/>
    </x:row>
    <x:row r="25">
      <x:c r="A25" s="54"/>
      <x:c r="B25" s="55"/>
      <x:c r="C25" s="55"/>
      <x:c r="D25" s="55"/>
      <x:c r="E25" s="55"/>
      <x:c r="F25" s="55"/>
      <x:c r="G25" s="55"/>
      <x:c r="H25" s="56"/>
    </x:row>
    <x:row r="26">
      <x:c r="A26" s="54"/>
      <x:c r="B26" s="55"/>
      <x:c r="C26" s="55"/>
      <x:c r="D26" s="55"/>
      <x:c r="E26" s="55"/>
      <x:c r="F26" s="55"/>
      <x:c r="G26" s="55"/>
      <x:c r="H26" s="56"/>
    </x:row>
    <x:row r="27">
      <x:c r="A27" s="57"/>
      <x:c r="B27" s="58"/>
      <x:c r="C27" s="58"/>
      <x:c r="D27" s="58"/>
      <x:c r="E27" s="58"/>
      <x:c r="F27" s="58"/>
      <x:c r="G27" s="58"/>
      <x:c r="H27" s="59"/>
    </x:row>
  </x:sheetData>
  <x:mergeCells>
    <x:mergeCell ref="A1:H1"/>
    <x:mergeCell ref="A2:H2"/>
    <x:mergeCell ref="D4:H4"/>
    <x:mergeCell ref="D5:H8"/>
    <x:mergeCell ref="A24:H27"/>
  </x:mergeCells>
  <x:dataValidations count="1">
    <x:dataValidation type="list" sqref="B4">
      <x:formula1>"Lean,Base,Growth"</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13" hidden="0" customWidth="1"/>
    <x:col min="3" max="3" width="42" hidden="0" customWidth="1"/>
    <x:col min="4" max="4" width="11"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32" hidden="0" customWidth="1"/>
    <x:col min="12" max="12" width="15" hidden="0" customWidth="1"/>
    <x:col min="13" max="13" width="15" hidden="0" customWidth="1"/>
    <x:col min="14" max="14" width="15" hidden="0" customWidth="1"/>
  </x:cols>
  <x:sheetData>
    <x:row r="1" ht="34" customHeight="1">
      <x:c r="A1" s="3" t="str">
        <x:v>Budget Assumptions</x:v>
      </x:c>
      <x:c r="B1" s="3"/>
      <x:c r="C1" s="3"/>
      <x:c r="D1" s="3"/>
      <x:c r="E1" s="3"/>
      <x:c r="F1" s="3"/>
      <x:c r="G1" s="3"/>
      <x:c r="H1" s="3"/>
    </x:row>
    <x:row r="2" ht="30" customHeight="1">
      <x:c r="A2" s="7" t="str">
        <x:v>Yellow cells are editable scenario inputs; calculated annual costs are formula-driven.</x:v>
      </x:c>
      <x:c r="B2" s="7"/>
      <x:c r="C2" s="7"/>
      <x:c r="D2" s="7"/>
      <x:c r="E2" s="7"/>
      <x:c r="F2" s="7"/>
      <x:c r="G2" s="7"/>
      <x:c r="H2" s="7"/>
    </x:row>
    <x:row r="4">
      <x:c r="A4" s="18" t="str">
        <x:v>Category</x:v>
      </x:c>
      <x:c r="B4" s="62" t="str">
        <x:v>Cost type</x:v>
      </x:c>
      <x:c r="C4" s="62" t="str">
        <x:v>Budget item</x:v>
      </x:c>
      <x:c r="D4" s="62" t="str">
        <x:v>Unit</x:v>
      </x:c>
      <x:c r="E4" s="62" t="str">
        <x:v>Lean qty</x:v>
      </x:c>
      <x:c r="F4" s="62" t="str">
        <x:v>Lean rate</x:v>
      </x:c>
      <x:c r="G4" s="62" t="str">
        <x:v>Base qty</x:v>
      </x:c>
      <x:c r="H4" s="62" t="str">
        <x:v>Base rate</x:v>
      </x:c>
      <x:c r="I4" s="62" t="str">
        <x:v>Growth qty</x:v>
      </x:c>
      <x:c r="J4" s="62" t="str">
        <x:v>Growth rate</x:v>
      </x:c>
      <x:c r="K4" s="19" t="str">
        <x:v>Basis / note</x:v>
      </x:c>
      <x:c r="L4" s="18" t="str">
        <x:v>Lean annual</x:v>
      </x:c>
      <x:c r="M4" s="62" t="str">
        <x:v>Base annual</x:v>
      </x:c>
      <x:c r="N4" s="19" t="str">
        <x:v>Growth annual</x:v>
      </x:c>
    </x:row>
    <x:row r="5">
      <x:c r="A5" s="64" t="str">
        <x:v>Product &amp; engineering</x:v>
      </x:c>
      <x:c r="B5" s="64" t="str">
        <x:v>One-time</x:v>
      </x:c>
      <x:c r="C5" s="64" t="str">
        <x:v>Technical architecture and data model</x:v>
      </x:c>
      <x:c r="D5" s="64" t="str">
        <x:v>hours</x:v>
      </x:c>
      <x:c r="E5" s="65" t="n">
        <x:v>120</x:v>
      </x:c>
      <x:c r="F5" s="66" t="n">
        <x:v>140</x:v>
      </x:c>
      <x:c r="G5" s="65" t="n">
        <x:v>240</x:v>
      </x:c>
      <x:c r="H5" s="66" t="n">
        <x:v>150</x:v>
      </x:c>
      <x:c r="I5" s="65" t="n">
        <x:v>360</x:v>
      </x:c>
      <x:c r="J5" s="66" t="n">
        <x:v>165</x:v>
      </x:c>
      <x:c r="K5" s="64" t="str">
        <x:v>Implementation estimate</x:v>
      </x:c>
      <x:c r="L5" s="67" t="n">
        <x:f>E5*F5</x:f>
        <x:v>16800</x:v>
      </x:c>
      <x:c r="M5" s="67" t="n">
        <x:f>G5*H5</x:f>
        <x:v>36000</x:v>
      </x:c>
      <x:c r="N5" s="67" t="n">
        <x:f>I5*J5</x:f>
        <x:v>59400</x:v>
      </x:c>
    </x:row>
    <x:row r="6">
      <x:c r="A6" s="64" t="str">
        <x:v>Product &amp; engineering</x:v>
      </x:c>
      <x:c r="B6" s="64" t="str">
        <x:v>One-time</x:v>
      </x:c>
      <x:c r="C6" s="64" t="str">
        <x:v>Full-stack account and persistence build</x:v>
      </x:c>
      <x:c r="D6" s="64" t="str">
        <x:v>hours</x:v>
      </x:c>
      <x:c r="E6" s="65" t="n">
        <x:v>240</x:v>
      </x:c>
      <x:c r="F6" s="66" t="n">
        <x:v>125</x:v>
      </x:c>
      <x:c r="G6" s="65" t="n">
        <x:v>400</x:v>
      </x:c>
      <x:c r="H6" s="66" t="n">
        <x:v>140</x:v>
      </x:c>
      <x:c r="I6" s="65" t="n">
        <x:v>600</x:v>
      </x:c>
      <x:c r="J6" s="66" t="n">
        <x:v>160</x:v>
      </x:c>
      <x:c r="K6" s="64" t="str">
        <x:v>Implementation estimate</x:v>
      </x:c>
      <x:c r="L6" s="67" t="n">
        <x:f>E6*F6</x:f>
        <x:v>30000</x:v>
      </x:c>
      <x:c r="M6" s="67" t="n">
        <x:f>G6*H6</x:f>
        <x:v>56000</x:v>
      </x:c>
      <x:c r="N6" s="67" t="n">
        <x:f>I6*J6</x:f>
        <x:v>96000</x:v>
      </x:c>
    </x:row>
    <x:row r="7">
      <x:c r="A7" s="64" t="str">
        <x:v>Product &amp; engineering</x:v>
      </x:c>
      <x:c r="B7" s="64" t="str">
        <x:v>One-time</x:v>
      </x:c>
      <x:c r="C7" s="64" t="str">
        <x:v>Deployment automation and environments</x:v>
      </x:c>
      <x:c r="D7" s="64" t="str">
        <x:v>hours</x:v>
      </x:c>
      <x:c r="E7" s="65" t="n">
        <x:v>40</x:v>
      </x:c>
      <x:c r="F7" s="66" t="n">
        <x:v>125</x:v>
      </x:c>
      <x:c r="G7" s="65" t="n">
        <x:v>70</x:v>
      </x:c>
      <x:c r="H7" s="66" t="n">
        <x:v>140</x:v>
      </x:c>
      <x:c r="I7" s="65" t="n">
        <x:v>110</x:v>
      </x:c>
      <x:c r="J7" s="66" t="n">
        <x:v>160</x:v>
      </x:c>
      <x:c r="K7" s="64" t="str">
        <x:v>Implementation estimate</x:v>
      </x:c>
      <x:c r="L7" s="67" t="n">
        <x:f>E7*F7</x:f>
        <x:v>5000</x:v>
      </x:c>
      <x:c r="M7" s="67" t="n">
        <x:f>G7*H7</x:f>
        <x:v>9800</x:v>
      </x:c>
      <x:c r="N7" s="67" t="n">
        <x:f>I7*J7</x:f>
        <x:v>17600</x:v>
      </x:c>
    </x:row>
    <x:row r="8">
      <x:c r="A8" s="64" t="str">
        <x:v>Security, privacy &amp; legal</x:v>
      </x:c>
      <x:c r="B8" s="64" t="str">
        <x:v>One-time</x:v>
      </x:c>
      <x:c r="C8" s="64" t="str">
        <x:v>Security architecture and penetration review</x:v>
      </x:c>
      <x:c r="D8" s="64" t="str">
        <x:v>hours</x:v>
      </x:c>
      <x:c r="E8" s="65" t="n">
        <x:v>50</x:v>
      </x:c>
      <x:c r="F8" s="66" t="n">
        <x:v>160</x:v>
      </x:c>
      <x:c r="G8" s="65" t="n">
        <x:v>100</x:v>
      </x:c>
      <x:c r="H8" s="66" t="n">
        <x:v>185</x:v>
      </x:c>
      <x:c r="I8" s="65" t="n">
        <x:v>160</x:v>
      </x:c>
      <x:c r="J8" s="66" t="n">
        <x:v>210</x:v>
      </x:c>
      <x:c r="K8" s="64" t="str">
        <x:v>Professional-services estimate</x:v>
      </x:c>
      <x:c r="L8" s="67" t="n">
        <x:f>E8*F8</x:f>
        <x:v>8000</x:v>
      </x:c>
      <x:c r="M8" s="67" t="n">
        <x:f>G8*H8</x:f>
        <x:v>18500</x:v>
      </x:c>
      <x:c r="N8" s="67" t="n">
        <x:f>I8*J8</x:f>
        <x:v>33600</x:v>
      </x:c>
    </x:row>
    <x:row r="9">
      <x:c r="A9" s="64" t="str">
        <x:v>Security, privacy &amp; legal</x:v>
      </x:c>
      <x:c r="B9" s="64" t="str">
        <x:v>One-time</x:v>
      </x:c>
      <x:c r="C9" s="64" t="str">
        <x:v>Privacy, terms, acceptable use, retention review</x:v>
      </x:c>
      <x:c r="D9" s="64" t="str">
        <x:v>hours</x:v>
      </x:c>
      <x:c r="E9" s="65" t="n">
        <x:v>25</x:v>
      </x:c>
      <x:c r="F9" s="66" t="n">
        <x:v>225</x:v>
      </x:c>
      <x:c r="G9" s="65" t="n">
        <x:v>45</x:v>
      </x:c>
      <x:c r="H9" s="66" t="n">
        <x:v>250</x:v>
      </x:c>
      <x:c r="I9" s="65" t="n">
        <x:v>70</x:v>
      </x:c>
      <x:c r="J9" s="66" t="n">
        <x:v>275</x:v>
      </x:c>
      <x:c r="K9" s="64" t="str">
        <x:v>Counsel estimate</x:v>
      </x:c>
      <x:c r="L9" s="67" t="n">
        <x:f>E9*F9</x:f>
        <x:v>5625</x:v>
      </x:c>
      <x:c r="M9" s="67" t="n">
        <x:f>G9*H9</x:f>
        <x:v>11250</x:v>
      </x:c>
      <x:c r="N9" s="67" t="n">
        <x:f>I9*J9</x:f>
        <x:v>19250</x:v>
      </x:c>
    </x:row>
    <x:row r="10">
      <x:c r="A10" s="64" t="str">
        <x:v>UX, accessibility &amp; QA</x:v>
      </x:c>
      <x:c r="B10" s="64" t="str">
        <x:v>One-time</x:v>
      </x:c>
      <x:c r="C10" s="64" t="str">
        <x:v>UX and mobile refinement</x:v>
      </x:c>
      <x:c r="D10" s="64" t="str">
        <x:v>hours</x:v>
      </x:c>
      <x:c r="E10" s="65" t="n">
        <x:v>50</x:v>
      </x:c>
      <x:c r="F10" s="66" t="n">
        <x:v>105</x:v>
      </x:c>
      <x:c r="G10" s="65" t="n">
        <x:v>90</x:v>
      </x:c>
      <x:c r="H10" s="66" t="n">
        <x:v>120</x:v>
      </x:c>
      <x:c r="I10" s="65" t="n">
        <x:v>140</x:v>
      </x:c>
      <x:c r="J10" s="66" t="n">
        <x:v>135</x:v>
      </x:c>
      <x:c r="K10" s="64" t="str">
        <x:v>Design estimate</x:v>
      </x:c>
      <x:c r="L10" s="67" t="n">
        <x:f>E10*F10</x:f>
        <x:v>5250</x:v>
      </x:c>
      <x:c r="M10" s="67" t="n">
        <x:f>G10*H10</x:f>
        <x:v>10800</x:v>
      </x:c>
      <x:c r="N10" s="67" t="n">
        <x:f>I10*J10</x:f>
        <x:v>18900</x:v>
      </x:c>
    </x:row>
    <x:row r="11">
      <x:c r="A11" s="64" t="str">
        <x:v>UX, accessibility &amp; QA</x:v>
      </x:c>
      <x:c r="B11" s="64" t="str">
        <x:v>One-time</x:v>
      </x:c>
      <x:c r="C11" s="64" t="str">
        <x:v>Accessibility audit and remediation support</x:v>
      </x:c>
      <x:c r="D11" s="64" t="str">
        <x:v>hours</x:v>
      </x:c>
      <x:c r="E11" s="65" t="n">
        <x:v>35</x:v>
      </x:c>
      <x:c r="F11" s="66" t="n">
        <x:v>125</x:v>
      </x:c>
      <x:c r="G11" s="65" t="n">
        <x:v>70</x:v>
      </x:c>
      <x:c r="H11" s="66" t="n">
        <x:v>145</x:v>
      </x:c>
      <x:c r="I11" s="65" t="n">
        <x:v>110</x:v>
      </x:c>
      <x:c r="J11" s="66" t="n">
        <x:v>165</x:v>
      </x:c>
      <x:c r="K11" s="64" t="str">
        <x:v>Accessibility estimate</x:v>
      </x:c>
      <x:c r="L11" s="67" t="n">
        <x:f>E11*F11</x:f>
        <x:v>4375</x:v>
      </x:c>
      <x:c r="M11" s="67" t="n">
        <x:f>G11*H11</x:f>
        <x:v>10150</x:v>
      </x:c>
      <x:c r="N11" s="67" t="n">
        <x:f>I11*J11</x:f>
        <x:v>18150</x:v>
      </x:c>
    </x:row>
    <x:row r="12">
      <x:c r="A12" s="64" t="str">
        <x:v>UX, accessibility &amp; QA</x:v>
      </x:c>
      <x:c r="B12" s="64" t="str">
        <x:v>One-time</x:v>
      </x:c>
      <x:c r="C12" s="64" t="str">
        <x:v>Functional, browser and release testing</x:v>
      </x:c>
      <x:c r="D12" s="64" t="str">
        <x:v>hours</x:v>
      </x:c>
      <x:c r="E12" s="65" t="n">
        <x:v>60</x:v>
      </x:c>
      <x:c r="F12" s="66" t="n">
        <x:v>85</x:v>
      </x:c>
      <x:c r="G12" s="65" t="n">
        <x:v>120</x:v>
      </x:c>
      <x:c r="H12" s="66" t="n">
        <x:v>100</x:v>
      </x:c>
      <x:c r="I12" s="65" t="n">
        <x:v>180</x:v>
      </x:c>
      <x:c r="J12" s="66" t="n">
        <x:v>115</x:v>
      </x:c>
      <x:c r="K12" s="64" t="str">
        <x:v>QA estimate</x:v>
      </x:c>
      <x:c r="L12" s="67" t="n">
        <x:f>E12*F12</x:f>
        <x:v>5100</x:v>
      </x:c>
      <x:c r="M12" s="67" t="n">
        <x:f>G12*H12</x:f>
        <x:v>12000</x:v>
      </x:c>
      <x:c r="N12" s="67" t="n">
        <x:f>I12*J12</x:f>
        <x:v>20700</x:v>
      </x:c>
    </x:row>
    <x:row r="13">
      <x:c r="A13" s="64" t="str">
        <x:v>Content &amp; learning readiness</x:v>
      </x:c>
      <x:c r="B13" s="64" t="str">
        <x:v>One-time</x:v>
      </x:c>
      <x:c r="C13" s="64" t="str">
        <x:v>Final content, tool and module QA</x:v>
      </x:c>
      <x:c r="D13" s="64" t="str">
        <x:v>hours</x:v>
      </x:c>
      <x:c r="E13" s="65" t="n">
        <x:v>50</x:v>
      </x:c>
      <x:c r="F13" s="66" t="n">
        <x:v>90</x:v>
      </x:c>
      <x:c r="G13" s="65" t="n">
        <x:v>100</x:v>
      </x:c>
      <x:c r="H13" s="66" t="n">
        <x:v>105</x:v>
      </x:c>
      <x:c r="I13" s="65" t="n">
        <x:v>160</x:v>
      </x:c>
      <x:c r="J13" s="66" t="n">
        <x:v>120</x:v>
      </x:c>
      <x:c r="K13" s="64" t="str">
        <x:v>Editorial estimate</x:v>
      </x:c>
      <x:c r="L13" s="67" t="n">
        <x:f>E13*F13</x:f>
        <x:v>4500</x:v>
      </x:c>
      <x:c r="M13" s="67" t="n">
        <x:f>G13*H13</x:f>
        <x:v>10500</x:v>
      </x:c>
      <x:c r="N13" s="67" t="n">
        <x:f>I13*J13</x:f>
        <x:v>19200</x:v>
      </x:c>
    </x:row>
    <x:row r="14">
      <x:c r="A14" s="64" t="str">
        <x:v>Launch &amp; customer development</x:v>
      </x:c>
      <x:c r="B14" s="64" t="str">
        <x:v>One-time</x:v>
      </x:c>
      <x:c r="C14" s="64" t="str">
        <x:v>Launch messaging, onboarding and help content</x:v>
      </x:c>
      <x:c r="D14" s="64" t="str">
        <x:v>hours</x:v>
      </x:c>
      <x:c r="E14" s="65" t="n">
        <x:v>35</x:v>
      </x:c>
      <x:c r="F14" s="66" t="n">
        <x:v>90</x:v>
      </x:c>
      <x:c r="G14" s="65" t="n">
        <x:v>70</x:v>
      </x:c>
      <x:c r="H14" s="66" t="n">
        <x:v>105</x:v>
      </x:c>
      <x:c r="I14" s="65" t="n">
        <x:v>120</x:v>
      </x:c>
      <x:c r="J14" s="66" t="n">
        <x:v>120</x:v>
      </x:c>
      <x:c r="K14" s="64" t="str">
        <x:v>Launch estimate</x:v>
      </x:c>
      <x:c r="L14" s="67" t="n">
        <x:f>E14*F14</x:f>
        <x:v>3150</x:v>
      </x:c>
      <x:c r="M14" s="67" t="n">
        <x:f>G14*H14</x:f>
        <x:v>7350</x:v>
      </x:c>
      <x:c r="N14" s="67" t="n">
        <x:f>I14*J14</x:f>
        <x:v>14400</x:v>
      </x:c>
    </x:row>
    <x:row r="15">
      <x:c r="A15" s="64" t="str">
        <x:v>Launch &amp; customer development</x:v>
      </x:c>
      <x:c r="B15" s="64" t="str">
        <x:v>One-time</x:v>
      </x:c>
      <x:c r="C15" s="64" t="str">
        <x:v>Initial outreach, demonstrations and reviewer launch</x:v>
      </x:c>
      <x:c r="D15" s="64" t="str">
        <x:v>hours</x:v>
      </x:c>
      <x:c r="E15" s="65" t="n">
        <x:v>30</x:v>
      </x:c>
      <x:c r="F15" s="66" t="n">
        <x:v>90</x:v>
      </x:c>
      <x:c r="G15" s="65" t="n">
        <x:v>70</x:v>
      </x:c>
      <x:c r="H15" s="66" t="n">
        <x:v>105</x:v>
      </x:c>
      <x:c r="I15" s="65" t="n">
        <x:v>140</x:v>
      </x:c>
      <x:c r="J15" s="66" t="n">
        <x:v>120</x:v>
      </x:c>
      <x:c r="K15" s="64" t="str">
        <x:v>Launch estimate</x:v>
      </x:c>
      <x:c r="L15" s="67" t="n">
        <x:f>E15*F15</x:f>
        <x:v>2700</x:v>
      </x:c>
      <x:c r="M15" s="67" t="n">
        <x:f>G15*H15</x:f>
        <x:v>7350</x:v>
      </x:c>
      <x:c r="N15" s="67" t="n">
        <x:f>I15*J15</x:f>
        <x:v>16800</x:v>
      </x:c>
    </x:row>
    <x:row r="16">
      <x:c r="A16" s="64" t="str">
        <x:v>Technology &amp; operations</x:v>
      </x:c>
      <x:c r="B16" s="64" t="str">
        <x:v>Recurring</x:v>
      </x:c>
      <x:c r="C16" s="64" t="str">
        <x:v>Vercel Pro hosting</x:v>
      </x:c>
      <x:c r="D16" s="64" t="str">
        <x:v>months</x:v>
      </x:c>
      <x:c r="E16" s="65" t="n">
        <x:v>12</x:v>
      </x:c>
      <x:c r="F16" s="66" t="n">
        <x:v>20</x:v>
      </x:c>
      <x:c r="G16" s="65" t="n">
        <x:v>12</x:v>
      </x:c>
      <x:c r="H16" s="66" t="n">
        <x:v>20</x:v>
      </x:c>
      <x:c r="I16" s="65" t="n">
        <x:v>12</x:v>
      </x:c>
      <x:c r="J16" s="66" t="n">
        <x:v>40</x:v>
      </x:c>
      <x:c r="K16" s="64" t="str">
        <x:v>Official list price; growth allows usage</x:v>
      </x:c>
      <x:c r="L16" s="67" t="n">
        <x:f>E16*F16</x:f>
        <x:v>240</x:v>
      </x:c>
      <x:c r="M16" s="67" t="n">
        <x:f>G16*H16</x:f>
        <x:v>240</x:v>
      </x:c>
      <x:c r="N16" s="67" t="n">
        <x:f>I16*J16</x:f>
        <x:v>480</x:v>
      </x:c>
    </x:row>
    <x:row r="17">
      <x:c r="A17" s="64" t="str">
        <x:v>Technology &amp; operations</x:v>
      </x:c>
      <x:c r="B17" s="64" t="str">
        <x:v>Recurring</x:v>
      </x:c>
      <x:c r="C17" s="64" t="str">
        <x:v>Supabase Pro database/auth/storage</x:v>
      </x:c>
      <x:c r="D17" s="64" t="str">
        <x:v>months</x:v>
      </x:c>
      <x:c r="E17" s="65" t="n">
        <x:v>12</x:v>
      </x:c>
      <x:c r="F17" s="66" t="n">
        <x:v>25</x:v>
      </x:c>
      <x:c r="G17" s="65" t="n">
        <x:v>12</x:v>
      </x:c>
      <x:c r="H17" s="66" t="n">
        <x:v>25</x:v>
      </x:c>
      <x:c r="I17" s="65" t="n">
        <x:v>12</x:v>
      </x:c>
      <x:c r="J17" s="66" t="n">
        <x:v>50</x:v>
      </x:c>
      <x:c r="K17" s="64" t="str">
        <x:v>Official list price; growth allows usage</x:v>
      </x:c>
      <x:c r="L17" s="67" t="n">
        <x:f>E17*F17</x:f>
        <x:v>300</x:v>
      </x:c>
      <x:c r="M17" s="67" t="n">
        <x:f>G17*H17</x:f>
        <x:v>300</x:v>
      </x:c>
      <x:c r="N17" s="67" t="n">
        <x:f>I17*J17</x:f>
        <x:v>600</x:v>
      </x:c>
    </x:row>
    <x:row r="18">
      <x:c r="A18" s="64" t="str">
        <x:v>Technology &amp; operations</x:v>
      </x:c>
      <x:c r="B18" s="64" t="str">
        <x:v>Recurring</x:v>
      </x:c>
      <x:c r="C18" s="64" t="str">
        <x:v>Resend transactional email</x:v>
      </x:c>
      <x:c r="D18" s="64" t="str">
        <x:v>months</x:v>
      </x:c>
      <x:c r="E18" s="65" t="n">
        <x:v>12</x:v>
      </x:c>
      <x:c r="F18" s="66" t="n">
        <x:v>0</x:v>
      </x:c>
      <x:c r="G18" s="65" t="n">
        <x:v>12</x:v>
      </x:c>
      <x:c r="H18" s="66" t="n">
        <x:v>20</x:v>
      </x:c>
      <x:c r="I18" s="65" t="n">
        <x:v>12</x:v>
      </x:c>
      <x:c r="J18" s="66" t="n">
        <x:v>35</x:v>
      </x:c>
      <x:c r="K18" s="64" t="str">
        <x:v>Free / 50K / 100K monthly email tiers</x:v>
      </x:c>
      <x:c r="L18" s="67" t="n">
        <x:f>E18*F18</x:f>
        <x:v>0</x:v>
      </x:c>
      <x:c r="M18" s="67" t="n">
        <x:f>G18*H18</x:f>
        <x:v>240</x:v>
      </x:c>
      <x:c r="N18" s="67" t="n">
        <x:f>I18*J18</x:f>
        <x:v>420</x:v>
      </x:c>
    </x:row>
    <x:row r="19">
      <x:c r="A19" s="64" t="str">
        <x:v>Technology &amp; operations</x:v>
      </x:c>
      <x:c r="B19" s="64" t="str">
        <x:v>Recurring</x:v>
      </x:c>
      <x:c r="C19" s="64" t="str">
        <x:v>Monitoring and error tracking</x:v>
      </x:c>
      <x:c r="D19" s="64" t="str">
        <x:v>months</x:v>
      </x:c>
      <x:c r="E19" s="65" t="n">
        <x:v>12</x:v>
      </x:c>
      <x:c r="F19" s="66" t="n">
        <x:v>0</x:v>
      </x:c>
      <x:c r="G19" s="65" t="n">
        <x:v>12</x:v>
      </x:c>
      <x:c r="H19" s="66" t="n">
        <x:v>50</x:v>
      </x:c>
      <x:c r="I19" s="65" t="n">
        <x:v>12</x:v>
      </x:c>
      <x:c r="J19" s="66" t="n">
        <x:v>150</x:v>
      </x:c>
      <x:c r="K19" s="64" t="str">
        <x:v>Planning allowance; confirm quote</x:v>
      </x:c>
      <x:c r="L19" s="67" t="n">
        <x:f>E19*F19</x:f>
        <x:v>0</x:v>
      </x:c>
      <x:c r="M19" s="67" t="n">
        <x:f>G19*H19</x:f>
        <x:v>600</x:v>
      </x:c>
      <x:c r="N19" s="67" t="n">
        <x:f>I19*J19</x:f>
        <x:v>1800</x:v>
      </x:c>
    </x:row>
    <x:row r="20">
      <x:c r="A20" s="64" t="str">
        <x:v>Technology &amp; operations</x:v>
      </x:c>
      <x:c r="B20" s="64" t="str">
        <x:v>Recurring</x:v>
      </x:c>
      <x:c r="C20" s="64" t="str">
        <x:v>Domain, DNS and certificates</x:v>
      </x:c>
      <x:c r="D20" s="64" t="str">
        <x:v>years</x:v>
      </x:c>
      <x:c r="E20" s="65" t="n">
        <x:v>1</x:v>
      </x:c>
      <x:c r="F20" s="66" t="n">
        <x:v>100</x:v>
      </x:c>
      <x:c r="G20" s="65" t="n">
        <x:v>1</x:v>
      </x:c>
      <x:c r="H20" s="66" t="n">
        <x:v>150</x:v>
      </x:c>
      <x:c r="I20" s="65" t="n">
        <x:v>1</x:v>
      </x:c>
      <x:c r="J20" s="66" t="n">
        <x:v>250</x:v>
      </x:c>
      <x:c r="K20" s="64" t="str">
        <x:v>Planning allowance</x:v>
      </x:c>
      <x:c r="L20" s="67" t="n">
        <x:f>E20*F20</x:f>
        <x:v>100</x:v>
      </x:c>
      <x:c r="M20" s="67" t="n">
        <x:f>G20*H20</x:f>
        <x:v>150</x:v>
      </x:c>
      <x:c r="N20" s="67" t="n">
        <x:f>I20*J20</x:f>
        <x:v>250</x:v>
      </x:c>
    </x:row>
    <x:row r="21">
      <x:c r="A21" s="64" t="str">
        <x:v>Technology &amp; operations</x:v>
      </x:c>
      <x:c r="B21" s="64" t="str">
        <x:v>Recurring</x:v>
      </x:c>
      <x:c r="C21" s="64" t="str">
        <x:v>Security scanning and backup testing</x:v>
      </x:c>
      <x:c r="D21" s="64" t="str">
        <x:v>years</x:v>
      </x:c>
      <x:c r="E21" s="65" t="n">
        <x:v>1</x:v>
      </x:c>
      <x:c r="F21" s="66" t="n">
        <x:v>600</x:v>
      </x:c>
      <x:c r="G21" s="65" t="n">
        <x:v>1</x:v>
      </x:c>
      <x:c r="H21" s="66" t="n">
        <x:v>1500</x:v>
      </x:c>
      <x:c r="I21" s="65" t="n">
        <x:v>1</x:v>
      </x:c>
      <x:c r="J21" s="66" t="n">
        <x:v>3500</x:v>
      </x:c>
      <x:c r="K21" s="64" t="str">
        <x:v>Planning allowance</x:v>
      </x:c>
      <x:c r="L21" s="67" t="n">
        <x:f>E21*F21</x:f>
        <x:v>600</x:v>
      </x:c>
      <x:c r="M21" s="67" t="n">
        <x:f>G21*H21</x:f>
        <x:v>1500</x:v>
      </x:c>
      <x:c r="N21" s="67" t="n">
        <x:f>I21*J21</x:f>
        <x:v>3500</x:v>
      </x:c>
    </x:row>
    <x:row r="22">
      <x:c r="A22" s="64" t="str">
        <x:v>Product &amp; engineering</x:v>
      </x:c>
      <x:c r="B22" s="64" t="str">
        <x:v>Recurring</x:v>
      </x:c>
      <x:c r="C22" s="64" t="str">
        <x:v>Technical maintenance and incident support</x:v>
      </x:c>
      <x:c r="D22" s="64" t="str">
        <x:v>hours</x:v>
      </x:c>
      <x:c r="E22" s="65" t="n">
        <x:v>60</x:v>
      </x:c>
      <x:c r="F22" s="66" t="n">
        <x:v>125</x:v>
      </x:c>
      <x:c r="G22" s="65" t="n">
        <x:v>144</x:v>
      </x:c>
      <x:c r="H22" s="66" t="n">
        <x:v>140</x:v>
      </x:c>
      <x:c r="I22" s="65" t="n">
        <x:v>288</x:v>
      </x:c>
      <x:c r="J22" s="66" t="n">
        <x:v>160</x:v>
      </x:c>
      <x:c r="K22" s="64" t="str">
        <x:v>5 / 12 / 24 hours per month</x:v>
      </x:c>
      <x:c r="L22" s="67" t="n">
        <x:f>E22*F22</x:f>
        <x:v>7500</x:v>
      </x:c>
      <x:c r="M22" s="67" t="n">
        <x:f>G22*H22</x:f>
        <x:v>20160</x:v>
      </x:c>
      <x:c r="N22" s="67" t="n">
        <x:f>I22*J22</x:f>
        <x:v>46080</x:v>
      </x:c>
    </x:row>
    <x:row r="23">
      <x:c r="A23" s="64" t="str">
        <x:v>Content &amp; learning readiness</x:v>
      </x:c>
      <x:c r="B23" s="64" t="str">
        <x:v>Recurring</x:v>
      </x:c>
      <x:c r="C23" s="64" t="str">
        <x:v>Evidence, content and learning updates</x:v>
      </x:c>
      <x:c r="D23" s="64" t="str">
        <x:v>hours</x:v>
      </x:c>
      <x:c r="E23" s="65" t="n">
        <x:v>96</x:v>
      </x:c>
      <x:c r="F23" s="66" t="n">
        <x:v>90</x:v>
      </x:c>
      <x:c r="G23" s="65" t="n">
        <x:v>240</x:v>
      </x:c>
      <x:c r="H23" s="66" t="n">
        <x:v>105</x:v>
      </x:c>
      <x:c r="I23" s="65" t="n">
        <x:v>480</x:v>
      </x:c>
      <x:c r="J23" s="66" t="n">
        <x:v>120</x:v>
      </x:c>
      <x:c r="K23" s="64" t="str">
        <x:v>8 / 20 / 40 hours per month</x:v>
      </x:c>
      <x:c r="L23" s="67" t="n">
        <x:f>E23*F23</x:f>
        <x:v>8640</x:v>
      </x:c>
      <x:c r="M23" s="67" t="n">
        <x:f>G23*H23</x:f>
        <x:v>25200</x:v>
      </x:c>
      <x:c r="N23" s="67" t="n">
        <x:f>I23*J23</x:f>
        <x:v>57600</x:v>
      </x:c>
    </x:row>
    <x:row r="24">
      <x:c r="A24" s="64" t="str">
        <x:v>Launch &amp; customer development</x:v>
      </x:c>
      <x:c r="B24" s="64" t="str">
        <x:v>Recurring</x:v>
      </x:c>
      <x:c r="C24" s="64" t="str">
        <x:v>Member and reviewer support</x:v>
      </x:c>
      <x:c r="D24" s="64" t="str">
        <x:v>hours</x:v>
      </x:c>
      <x:c r="E24" s="65" t="n">
        <x:v>60</x:v>
      </x:c>
      <x:c r="F24" s="66" t="n">
        <x:v>65</x:v>
      </x:c>
      <x:c r="G24" s="65" t="n">
        <x:v>120</x:v>
      </x:c>
      <x:c r="H24" s="66" t="n">
        <x:v>75</x:v>
      </x:c>
      <x:c r="I24" s="65" t="n">
        <x:v>300</x:v>
      </x:c>
      <x:c r="J24" s="66" t="n">
        <x:v>90</x:v>
      </x:c>
      <x:c r="K24" s="64" t="str">
        <x:v>5 / 10 / 25 hours per month</x:v>
      </x:c>
      <x:c r="L24" s="67" t="n">
        <x:f>E24*F24</x:f>
        <x:v>3900</x:v>
      </x:c>
      <x:c r="M24" s="67" t="n">
        <x:f>G24*H24</x:f>
        <x:v>9000</x:v>
      </x:c>
      <x:c r="N24" s="67" t="n">
        <x:f>I24*J24</x:f>
        <x:v>27000</x:v>
      </x:c>
    </x:row>
    <x:row r="25">
      <x:c r="A25" s="64" t="str">
        <x:v>Launch &amp; customer development</x:v>
      </x:c>
      <x:c r="B25" s="64" t="str">
        <x:v>Recurring</x:v>
      </x:c>
      <x:c r="C25" s="64" t="str">
        <x:v>Outreach, demonstrations and partnerships</x:v>
      </x:c>
      <x:c r="D25" s="64" t="str">
        <x:v>hours</x:v>
      </x:c>
      <x:c r="E25" s="65" t="n">
        <x:v>48</x:v>
      </x:c>
      <x:c r="F25" s="66" t="n">
        <x:v>90</x:v>
      </x:c>
      <x:c r="G25" s="65" t="n">
        <x:v>120</x:v>
      </x:c>
      <x:c r="H25" s="66" t="n">
        <x:v>105</x:v>
      </x:c>
      <x:c r="I25" s="65" t="n">
        <x:v>300</x:v>
      </x:c>
      <x:c r="J25" s="66" t="n">
        <x:v>120</x:v>
      </x:c>
      <x:c r="K25" s="64" t="str">
        <x:v>4 / 10 / 25 hours per month</x:v>
      </x:c>
      <x:c r="L25" s="67" t="n">
        <x:f>E25*F25</x:f>
        <x:v>4320</x:v>
      </x:c>
      <x:c r="M25" s="67" t="n">
        <x:f>G25*H25</x:f>
        <x:v>12600</x:v>
      </x:c>
      <x:c r="N25" s="67" t="n">
        <x:f>I25*J25</x:f>
        <x:v>36000</x:v>
      </x:c>
    </x:row>
    <x:row r="26">
      <x:c r="A26" s="64" t="str">
        <x:v>Security, privacy &amp; legal</x:v>
      </x:c>
      <x:c r="B26" s="64" t="str">
        <x:v>Recurring</x:v>
      </x:c>
      <x:c r="C26" s="64" t="str">
        <x:v>Annual privacy/legal review and insurance allowance</x:v>
      </x:c>
      <x:c r="D26" s="64" t="str">
        <x:v>years</x:v>
      </x:c>
      <x:c r="E26" s="65" t="n">
        <x:v>1</x:v>
      </x:c>
      <x:c r="F26" s="66" t="n">
        <x:v>2500</x:v>
      </x:c>
      <x:c r="G26" s="65" t="n">
        <x:v>1</x:v>
      </x:c>
      <x:c r="H26" s="66" t="n">
        <x:v>6000</x:v>
      </x:c>
      <x:c r="I26" s="65" t="n">
        <x:v>1</x:v>
      </x:c>
      <x:c r="J26" s="66" t="n">
        <x:v>12000</x:v>
      </x:c>
      <x:c r="K26" s="64" t="str">
        <x:v>Planning allowance; obtain quotes</x:v>
      </x:c>
      <x:c r="L26" s="67" t="n">
        <x:f>E26*F26</x:f>
        <x:v>2500</x:v>
      </x:c>
      <x:c r="M26" s="67" t="n">
        <x:f>G26*H26</x:f>
        <x:v>6000</x:v>
      </x:c>
      <x:c r="N26" s="67" t="n">
        <x:f>I26*J26</x:f>
        <x:v>12000</x:v>
      </x:c>
    </x:row>
  </x:sheetData>
  <x:mergeCells>
    <x:mergeCell ref="A1:H1"/>
    <x:mergeCell ref="A2: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s>
  <x:sheetData>
    <x:row r="1" ht="34" customHeight="1">
      <x:c r="A1" s="3" t="str">
        <x:v>Scenario Comparison</x:v>
      </x:c>
      <x:c r="B1" s="3"/>
      <x:c r="C1" s="3"/>
      <x:c r="D1" s="3"/>
      <x:c r="E1" s="3"/>
      <x:c r="F1" s="3"/>
      <x:c r="G1" s="3"/>
      <x:c r="H1" s="3"/>
    </x:row>
    <x:row r="2" ht="30" customHeight="1">
      <x:c r="A2" s="7" t="str">
        <x:v>Lean emphasizes founder labor; Base is recommended; Growth supports a larger public launch.</x:v>
      </x:c>
      <x:c r="B2" s="7"/>
      <x:c r="C2" s="7"/>
      <x:c r="D2" s="7"/>
      <x:c r="E2" s="7"/>
      <x:c r="F2" s="7"/>
      <x:c r="G2" s="7"/>
      <x:c r="H2" s="7"/>
    </x:row>
    <x:row r="4">
      <x:c r="A4" s="18" t="str">
        <x:v>Metric</x:v>
      </x:c>
      <x:c r="B4" s="62" t="str">
        <x:v>Lean</x:v>
      </x:c>
      <x:c r="C4" s="62" t="str">
        <x:v>Base</x:v>
      </x:c>
      <x:c r="D4" s="19" t="str">
        <x:v>Growth</x:v>
      </x:c>
    </x:row>
    <x:row r="5">
      <x:c r="A5" t="str">
        <x:v>One-time launch</x:v>
      </x:c>
      <x:c r="B5" s="20" t="n">
        <x:f>SUMIF('Assumptions'!$B$5:$B$26,"One-time",'Assumptions'!$L$5:$L$26)</x:f>
        <x:v>90500</x:v>
      </x:c>
      <x:c r="C5" s="20" t="n">
        <x:f>SUMIF('Assumptions'!$B$5:$B$26,"One-time",'Assumptions'!$M$5:$M$26)</x:f>
        <x:v>189700</x:v>
      </x:c>
      <x:c r="D5" s="20" t="n">
        <x:f>SUMIF('Assumptions'!$B$5:$B$26,"One-time",'Assumptions'!$N$5:$N$26)</x:f>
        <x:v>334000</x:v>
      </x:c>
    </x:row>
    <x:row r="6">
      <x:c r="A6" t="str">
        <x:v>Year-one operations</x:v>
      </x:c>
      <x:c r="B6" s="20" t="n">
        <x:f>SUMIF('Assumptions'!$B$5:$B$26,"Recurring",'Assumptions'!$L$5:$L$26)</x:f>
        <x:v>28100</x:v>
      </x:c>
      <x:c r="C6" s="20" t="n">
        <x:f>SUMIF('Assumptions'!$B$5:$B$26,"Recurring",'Assumptions'!$M$5:$M$26)</x:f>
        <x:v>75990</x:v>
      </x:c>
      <x:c r="D6" s="20" t="n">
        <x:f>SUMIF('Assumptions'!$B$5:$B$26,"Recurring",'Assumptions'!$N$5:$N$26)</x:f>
        <x:v>185730</x:v>
      </x:c>
    </x:row>
    <x:row r="7">
      <x:c r="A7" t="str">
        <x:v>Subtotal before contingency</x:v>
      </x:c>
      <x:c r="B7" s="20" t="n">
        <x:f>SUM(B5:B6)</x:f>
        <x:v>118600</x:v>
      </x:c>
      <x:c r="C7" s="20" t="n">
        <x:f>SUM(C5:C6)</x:f>
        <x:v>265690</x:v>
      </x:c>
      <x:c r="D7" s="20" t="n">
        <x:f>SUM(D5:D6)</x:f>
        <x:v>519730</x:v>
      </x:c>
    </x:row>
    <x:row r="8">
      <x:c r="A8" t="str">
        <x:v>Contingency rate</x:v>
      </x:c>
      <x:c r="B8" s="68" t="n">
        <x:v>0.1</x:v>
      </x:c>
      <x:c r="C8" s="68" t="n">
        <x:v>0.15</x:v>
      </x:c>
      <x:c r="D8" s="68" t="n">
        <x:v>0.2</x:v>
      </x:c>
    </x:row>
    <x:row r="9">
      <x:c r="A9" s="25" t="str">
        <x:v>Total year-one funding need</x:v>
      </x:c>
      <x:c r="B9" s="69" t="n">
        <x:f>B7*(1+B8)</x:f>
        <x:v>130460.00000000001</x:v>
      </x:c>
      <x:c r="C9" s="69" t="n">
        <x:f>C7*(1+C8)</x:f>
        <x:v>305543.5</x:v>
      </x:c>
      <x:c r="D9" s="26" t="n">
        <x:f>D7*(1+D8)</x:f>
        <x:v>623676</x:v>
      </x:c>
    </x:row>
    <x:row r="11">
      <x:c r="A11" s="18" t="str">
        <x:v>Base cost mix</x:v>
      </x:c>
      <x:c r="B11" s="62" t="str">
        <x:v>Lean</x:v>
      </x:c>
      <x:c r="C11" s="62" t="str">
        <x:v>Base</x:v>
      </x:c>
      <x:c r="D11" s="19" t="str">
        <x:v>Growth</x:v>
      </x:c>
    </x:row>
    <x:row r="12">
      <x:c r="A12" t="str">
        <x:v>Product &amp; engineering</x:v>
      </x:c>
      <x:c r="B12" s="20" t="n">
        <x:f>SUMIF('Assumptions'!$A$5:$A$26,A12,'Assumptions'!$L$5:$L$26)</x:f>
        <x:v>59300</x:v>
      </x:c>
      <x:c r="C12" s="20" t="n">
        <x:f>SUMIF('Assumptions'!$A$5:$A$26,A12,'Assumptions'!$M$5:$M$26)</x:f>
        <x:v>121960</x:v>
      </x:c>
      <x:c r="D12" s="20" t="n">
        <x:f>SUMIF('Assumptions'!$A$5:$A$26,A12,'Assumptions'!$N$5:$N$26)</x:f>
        <x:v>219080</x:v>
      </x:c>
    </x:row>
    <x:row r="13">
      <x:c r="A13" t="str">
        <x:v>Security, privacy &amp; legal</x:v>
      </x:c>
      <x:c r="B13" s="20" t="n">
        <x:f>SUMIF('Assumptions'!$A$5:$A$26,A13,'Assumptions'!$L$5:$L$26)</x:f>
        <x:v>16125</x:v>
      </x:c>
      <x:c r="C13" s="20" t="n">
        <x:f>SUMIF('Assumptions'!$A$5:$A$26,A13,'Assumptions'!$M$5:$M$26)</x:f>
        <x:v>35750</x:v>
      </x:c>
      <x:c r="D13" s="20" t="n">
        <x:f>SUMIF('Assumptions'!$A$5:$A$26,A13,'Assumptions'!$N$5:$N$26)</x:f>
        <x:v>64850</x:v>
      </x:c>
    </x:row>
    <x:row r="14">
      <x:c r="A14" t="str">
        <x:v>UX, accessibility &amp; QA</x:v>
      </x:c>
      <x:c r="B14" s="20" t="n">
        <x:f>SUMIF('Assumptions'!$A$5:$A$26,A14,'Assumptions'!$L$5:$L$26)</x:f>
        <x:v>14725</x:v>
      </x:c>
      <x:c r="C14" s="20" t="n">
        <x:f>SUMIF('Assumptions'!$A$5:$A$26,A14,'Assumptions'!$M$5:$M$26)</x:f>
        <x:v>32950</x:v>
      </x:c>
      <x:c r="D14" s="20" t="n">
        <x:f>SUMIF('Assumptions'!$A$5:$A$26,A14,'Assumptions'!$N$5:$N$26)</x:f>
        <x:v>57750</x:v>
      </x:c>
    </x:row>
    <x:row r="15">
      <x:c r="A15" t="str">
        <x:v>Content &amp; learning readiness</x:v>
      </x:c>
      <x:c r="B15" s="20" t="n">
        <x:f>SUMIF('Assumptions'!$A$5:$A$26,A15,'Assumptions'!$L$5:$L$26)</x:f>
        <x:v>13140</x:v>
      </x:c>
      <x:c r="C15" s="20" t="n">
        <x:f>SUMIF('Assumptions'!$A$5:$A$26,A15,'Assumptions'!$M$5:$M$26)</x:f>
        <x:v>35700</x:v>
      </x:c>
      <x:c r="D15" s="20" t="n">
        <x:f>SUMIF('Assumptions'!$A$5:$A$26,A15,'Assumptions'!$N$5:$N$26)</x:f>
        <x:v>76800</x:v>
      </x:c>
    </x:row>
    <x:row r="16">
      <x:c r="A16" t="str">
        <x:v>Launch &amp; customer development</x:v>
      </x:c>
      <x:c r="B16" s="20" t="n">
        <x:f>SUMIF('Assumptions'!$A$5:$A$26,A16,'Assumptions'!$L$5:$L$26)</x:f>
        <x:v>14070</x:v>
      </x:c>
      <x:c r="C16" s="20" t="n">
        <x:f>SUMIF('Assumptions'!$A$5:$A$26,A16,'Assumptions'!$M$5:$M$26)</x:f>
        <x:v>36300</x:v>
      </x:c>
      <x:c r="D16" s="20" t="n">
        <x:f>SUMIF('Assumptions'!$A$5:$A$26,A16,'Assumptions'!$N$5:$N$26)</x:f>
        <x:v>94200</x:v>
      </x:c>
    </x:row>
    <x:row r="17">
      <x:c r="A17" t="str">
        <x:v>Technology &amp; operations</x:v>
      </x:c>
      <x:c r="B17" s="20" t="n">
        <x:f>SUMIF('Assumptions'!$A$5:$A$26,A17,'Assumptions'!$L$5:$L$26)</x:f>
        <x:v>1240</x:v>
      </x:c>
      <x:c r="C17" s="20" t="n">
        <x:f>SUMIF('Assumptions'!$A$5:$A$26,A17,'Assumptions'!$M$5:$M$26)</x:f>
        <x:v>3030</x:v>
      </x:c>
      <x:c r="D17" s="20" t="n">
        <x:f>SUMIF('Assumptions'!$A$5:$A$26,A17,'Assumptions'!$N$5:$N$26)</x:f>
        <x:v>7050</x:v>
      </x:c>
    </x:row>
    <x:row r="18">
      <x:c r="A18" t="str">
        <x:v>Contingency</x:v>
      </x:c>
      <x:c r="B18" s="20" t="n">
        <x:f>B7*B8</x:f>
        <x:v>11860</x:v>
      </x:c>
      <x:c r="C18" s="20" t="n">
        <x:f>C7*C8</x:f>
        <x:v>39853.5</x:v>
      </x:c>
      <x:c r="D18" s="20" t="n">
        <x:f>D7*D8</x:f>
        <x:v>103946</x:v>
      </x:c>
    </x:row>
  </x:sheetData>
  <x:mergeCells>
    <x:mergeCell ref="A1:H1"/>
    <x:mergeCell ref="A2:H2"/>
  </x:mergeCells>
  <x:pageMargins left="0.7" right="0.7" top="0.75" bottom="0.75" header="0.3" footer="0.3"/>
  <x:drawing xmlns:r="http://schemas.openxmlformats.org/officeDocument/2006/relationships" r:id="R63330de4095e4a3a"/>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43"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34" customHeight="1">
      <x:c r="A1" s="3" t="str">
        <x:v>Base Scenario Monthly Cash Flow</x:v>
      </x:c>
      <x:c r="B1" s="3"/>
      <x:c r="C1" s="3"/>
      <x:c r="D1" s="3"/>
      <x:c r="E1" s="3"/>
      <x:c r="F1" s="3"/>
      <x:c r="G1" s="3"/>
      <x:c r="H1" s="3"/>
    </x:row>
    <x:row r="2" ht="30" customHeight="1">
      <x:c r="A2" s="7" t="str">
        <x:v>Illustrative timing; adjust hours and rates on Assumptions. One-time work is phased across months 1–3.</x:v>
      </x:c>
      <x:c r="B2" s="7"/>
      <x:c r="C2" s="7"/>
      <x:c r="D2" s="7"/>
      <x:c r="E2" s="7"/>
      <x:c r="F2" s="7"/>
      <x:c r="G2" s="7"/>
      <x:c r="H2" s="7"/>
    </x:row>
    <x:row r="4">
      <x:c r="A4" s="18" t="str">
        <x:v>Cost type</x:v>
      </x:c>
      <x:c r="B4" s="62" t="str">
        <x:v>Budget item</x:v>
      </x:c>
      <x:c r="C4" s="62" t="str">
        <x:v>M1</x:v>
      </x:c>
      <x:c r="D4" s="62" t="str">
        <x:v>M2</x:v>
      </x:c>
      <x:c r="E4" s="62" t="str">
        <x:v>M3</x:v>
      </x:c>
      <x:c r="F4" s="62" t="str">
        <x:v>M4</x:v>
      </x:c>
      <x:c r="G4" s="62" t="str">
        <x:v>M5</x:v>
      </x:c>
      <x:c r="H4" s="62" t="str">
        <x:v>M6</x:v>
      </x:c>
      <x:c r="I4" s="62" t="str">
        <x:v>M7</x:v>
      </x:c>
      <x:c r="J4" s="62" t="str">
        <x:v>M8</x:v>
      </x:c>
      <x:c r="K4" s="62" t="str">
        <x:v>M9</x:v>
      </x:c>
      <x:c r="L4" s="62" t="str">
        <x:v>M10</x:v>
      </x:c>
      <x:c r="M4" s="62" t="str">
        <x:v>M11</x:v>
      </x:c>
      <x:c r="N4" s="19" t="str">
        <x:v>M12</x:v>
      </x:c>
    </x:row>
    <x:row r="5">
      <x:c r="A5" t="str">
        <x:v>One-time</x:v>
      </x:c>
      <x:c r="B5" t="str">
        <x:v>Technical architecture and data model</x:v>
      </x:c>
      <x:c r="C5" s="20" t="n">
        <x:f>'Assumptions'!M5*40%</x:f>
        <x:v>14400</x:v>
      </x:c>
      <x:c r="D5" s="20" t="n">
        <x:f>'Assumptions'!M5*40%</x:f>
        <x:v>14400</x:v>
      </x:c>
      <x:c r="E5" s="20" t="n">
        <x:f>'Assumptions'!M5*20%</x:f>
        <x:v>7200</x:v>
      </x:c>
      <x:c r="F5" s="20" t="n">
        <x:v>0</x:v>
      </x:c>
      <x:c r="G5" s="20" t="n">
        <x:v>0</x:v>
      </x:c>
      <x:c r="H5" s="20" t="n">
        <x:v>0</x:v>
      </x:c>
      <x:c r="I5" s="20" t="n">
        <x:v>0</x:v>
      </x:c>
      <x:c r="J5" s="20" t="n">
        <x:v>0</x:v>
      </x:c>
      <x:c r="K5" s="20" t="n">
        <x:v>0</x:v>
      </x:c>
      <x:c r="L5" s="20" t="n">
        <x:v>0</x:v>
      </x:c>
      <x:c r="M5" s="20" t="n">
        <x:v>0</x:v>
      </x:c>
      <x:c r="N5" s="20" t="n">
        <x:v>0</x:v>
      </x:c>
    </x:row>
    <x:row r="6">
      <x:c r="A6" t="str">
        <x:v>One-time</x:v>
      </x:c>
      <x:c r="B6" t="str">
        <x:v>Full-stack account and persistence build</x:v>
      </x:c>
      <x:c r="C6" s="20" t="n">
        <x:f>'Assumptions'!M6*40%</x:f>
        <x:v>22400</x:v>
      </x:c>
      <x:c r="D6" s="20" t="n">
        <x:f>'Assumptions'!M6*40%</x:f>
        <x:v>22400</x:v>
      </x:c>
      <x:c r="E6" s="20" t="n">
        <x:f>'Assumptions'!M6*20%</x:f>
        <x:v>11200</x:v>
      </x:c>
      <x:c r="F6" s="20" t="n">
        <x:v>0</x:v>
      </x:c>
      <x:c r="G6" s="20" t="n">
        <x:v>0</x:v>
      </x:c>
      <x:c r="H6" s="20" t="n">
        <x:v>0</x:v>
      </x:c>
      <x:c r="I6" s="20" t="n">
        <x:v>0</x:v>
      </x:c>
      <x:c r="J6" s="20" t="n">
        <x:v>0</x:v>
      </x:c>
      <x:c r="K6" s="20" t="n">
        <x:v>0</x:v>
      </x:c>
      <x:c r="L6" s="20" t="n">
        <x:v>0</x:v>
      </x:c>
      <x:c r="M6" s="20" t="n">
        <x:v>0</x:v>
      </x:c>
      <x:c r="N6" s="20" t="n">
        <x:v>0</x:v>
      </x:c>
    </x:row>
    <x:row r="7">
      <x:c r="A7" t="str">
        <x:v>One-time</x:v>
      </x:c>
      <x:c r="B7" t="str">
        <x:v>Deployment automation and environments</x:v>
      </x:c>
      <x:c r="C7" s="20" t="n">
        <x:f>'Assumptions'!M7*40%</x:f>
        <x:v>3920</x:v>
      </x:c>
      <x:c r="D7" s="20" t="n">
        <x:f>'Assumptions'!M7*40%</x:f>
        <x:v>3920</x:v>
      </x:c>
      <x:c r="E7" s="20" t="n">
        <x:f>'Assumptions'!M7*20%</x:f>
        <x:v>1960</x:v>
      </x:c>
      <x:c r="F7" s="20" t="n">
        <x:v>0</x:v>
      </x:c>
      <x:c r="G7" s="20" t="n">
        <x:v>0</x:v>
      </x:c>
      <x:c r="H7" s="20" t="n">
        <x:v>0</x:v>
      </x:c>
      <x:c r="I7" s="20" t="n">
        <x:v>0</x:v>
      </x:c>
      <x:c r="J7" s="20" t="n">
        <x:v>0</x:v>
      </x:c>
      <x:c r="K7" s="20" t="n">
        <x:v>0</x:v>
      </x:c>
      <x:c r="L7" s="20" t="n">
        <x:v>0</x:v>
      </x:c>
      <x:c r="M7" s="20" t="n">
        <x:v>0</x:v>
      </x:c>
      <x:c r="N7" s="20" t="n">
        <x:v>0</x:v>
      </x:c>
    </x:row>
    <x:row r="8">
      <x:c r="A8" t="str">
        <x:v>One-time</x:v>
      </x:c>
      <x:c r="B8" t="str">
        <x:v>Security architecture and penetration review</x:v>
      </x:c>
      <x:c r="C8" s="20" t="n">
        <x:f>'Assumptions'!M8*40%</x:f>
        <x:v>7400</x:v>
      </x:c>
      <x:c r="D8" s="20" t="n">
        <x:f>'Assumptions'!M8*40%</x:f>
        <x:v>7400</x:v>
      </x:c>
      <x:c r="E8" s="20" t="n">
        <x:f>'Assumptions'!M8*20%</x:f>
        <x:v>3700</x:v>
      </x:c>
      <x:c r="F8" s="20" t="n">
        <x:v>0</x:v>
      </x:c>
      <x:c r="G8" s="20" t="n">
        <x:v>0</x:v>
      </x:c>
      <x:c r="H8" s="20" t="n">
        <x:v>0</x:v>
      </x:c>
      <x:c r="I8" s="20" t="n">
        <x:v>0</x:v>
      </x:c>
      <x:c r="J8" s="20" t="n">
        <x:v>0</x:v>
      </x:c>
      <x:c r="K8" s="20" t="n">
        <x:v>0</x:v>
      </x:c>
      <x:c r="L8" s="20" t="n">
        <x:v>0</x:v>
      </x:c>
      <x:c r="M8" s="20" t="n">
        <x:v>0</x:v>
      </x:c>
      <x:c r="N8" s="20" t="n">
        <x:v>0</x:v>
      </x:c>
    </x:row>
    <x:row r="9">
      <x:c r="A9" t="str">
        <x:v>One-time</x:v>
      </x:c>
      <x:c r="B9" t="str">
        <x:v>Privacy, terms, acceptable use, retention review</x:v>
      </x:c>
      <x:c r="C9" s="20" t="n">
        <x:f>'Assumptions'!M9*40%</x:f>
        <x:v>4500</x:v>
      </x:c>
      <x:c r="D9" s="20" t="n">
        <x:f>'Assumptions'!M9*40%</x:f>
        <x:v>4500</x:v>
      </x:c>
      <x:c r="E9" s="20" t="n">
        <x:f>'Assumptions'!M9*20%</x:f>
        <x:v>2250</x:v>
      </x:c>
      <x:c r="F9" s="20" t="n">
        <x:v>0</x:v>
      </x:c>
      <x:c r="G9" s="20" t="n">
        <x:v>0</x:v>
      </x:c>
      <x:c r="H9" s="20" t="n">
        <x:v>0</x:v>
      </x:c>
      <x:c r="I9" s="20" t="n">
        <x:v>0</x:v>
      </x:c>
      <x:c r="J9" s="20" t="n">
        <x:v>0</x:v>
      </x:c>
      <x:c r="K9" s="20" t="n">
        <x:v>0</x:v>
      </x:c>
      <x:c r="L9" s="20" t="n">
        <x:v>0</x:v>
      </x:c>
      <x:c r="M9" s="20" t="n">
        <x:v>0</x:v>
      </x:c>
      <x:c r="N9" s="20" t="n">
        <x:v>0</x:v>
      </x:c>
    </x:row>
    <x:row r="10">
      <x:c r="A10" t="str">
        <x:v>One-time</x:v>
      </x:c>
      <x:c r="B10" t="str">
        <x:v>UX and mobile refinement</x:v>
      </x:c>
      <x:c r="C10" s="20" t="n">
        <x:f>'Assumptions'!M10*40%</x:f>
        <x:v>4320</x:v>
      </x:c>
      <x:c r="D10" s="20" t="n">
        <x:f>'Assumptions'!M10*40%</x:f>
        <x:v>4320</x:v>
      </x:c>
      <x:c r="E10" s="20" t="n">
        <x:f>'Assumptions'!M10*20%</x:f>
        <x:v>2160</x:v>
      </x:c>
      <x:c r="F10" s="20" t="n">
        <x:v>0</x:v>
      </x:c>
      <x:c r="G10" s="20" t="n">
        <x:v>0</x:v>
      </x:c>
      <x:c r="H10" s="20" t="n">
        <x:v>0</x:v>
      </x:c>
      <x:c r="I10" s="20" t="n">
        <x:v>0</x:v>
      </x:c>
      <x:c r="J10" s="20" t="n">
        <x:v>0</x:v>
      </x:c>
      <x:c r="K10" s="20" t="n">
        <x:v>0</x:v>
      </x:c>
      <x:c r="L10" s="20" t="n">
        <x:v>0</x:v>
      </x:c>
      <x:c r="M10" s="20" t="n">
        <x:v>0</x:v>
      </x:c>
      <x:c r="N10" s="20" t="n">
        <x:v>0</x:v>
      </x:c>
    </x:row>
    <x:row r="11">
      <x:c r="A11" t="str">
        <x:v>One-time</x:v>
      </x:c>
      <x:c r="B11" t="str">
        <x:v>Accessibility audit and remediation support</x:v>
      </x:c>
      <x:c r="C11" s="20" t="n">
        <x:f>'Assumptions'!M11*40%</x:f>
        <x:v>4060</x:v>
      </x:c>
      <x:c r="D11" s="20" t="n">
        <x:f>'Assumptions'!M11*40%</x:f>
        <x:v>4060</x:v>
      </x:c>
      <x:c r="E11" s="20" t="n">
        <x:f>'Assumptions'!M11*20%</x:f>
        <x:v>2030</x:v>
      </x:c>
      <x:c r="F11" s="20" t="n">
        <x:v>0</x:v>
      </x:c>
      <x:c r="G11" s="20" t="n">
        <x:v>0</x:v>
      </x:c>
      <x:c r="H11" s="20" t="n">
        <x:v>0</x:v>
      </x:c>
      <x:c r="I11" s="20" t="n">
        <x:v>0</x:v>
      </x:c>
      <x:c r="J11" s="20" t="n">
        <x:v>0</x:v>
      </x:c>
      <x:c r="K11" s="20" t="n">
        <x:v>0</x:v>
      </x:c>
      <x:c r="L11" s="20" t="n">
        <x:v>0</x:v>
      </x:c>
      <x:c r="M11" s="20" t="n">
        <x:v>0</x:v>
      </x:c>
      <x:c r="N11" s="20" t="n">
        <x:v>0</x:v>
      </x:c>
    </x:row>
    <x:row r="12">
      <x:c r="A12" t="str">
        <x:v>One-time</x:v>
      </x:c>
      <x:c r="B12" t="str">
        <x:v>Functional, browser and release testing</x:v>
      </x:c>
      <x:c r="C12" s="20" t="n">
        <x:f>'Assumptions'!M12*40%</x:f>
        <x:v>4800</x:v>
      </x:c>
      <x:c r="D12" s="20" t="n">
        <x:f>'Assumptions'!M12*40%</x:f>
        <x:v>4800</x:v>
      </x:c>
      <x:c r="E12" s="20" t="n">
        <x:f>'Assumptions'!M12*20%</x:f>
        <x:v>2400</x:v>
      </x:c>
      <x:c r="F12" s="20" t="n">
        <x:v>0</x:v>
      </x:c>
      <x:c r="G12" s="20" t="n">
        <x:v>0</x:v>
      </x:c>
      <x:c r="H12" s="20" t="n">
        <x:v>0</x:v>
      </x:c>
      <x:c r="I12" s="20" t="n">
        <x:v>0</x:v>
      </x:c>
      <x:c r="J12" s="20" t="n">
        <x:v>0</x:v>
      </x:c>
      <x:c r="K12" s="20" t="n">
        <x:v>0</x:v>
      </x:c>
      <x:c r="L12" s="20" t="n">
        <x:v>0</x:v>
      </x:c>
      <x:c r="M12" s="20" t="n">
        <x:v>0</x:v>
      </x:c>
      <x:c r="N12" s="20" t="n">
        <x:v>0</x:v>
      </x:c>
    </x:row>
    <x:row r="13">
      <x:c r="A13" t="str">
        <x:v>One-time</x:v>
      </x:c>
      <x:c r="B13" t="str">
        <x:v>Final content, tool and module QA</x:v>
      </x:c>
      <x:c r="C13" s="20" t="n">
        <x:f>'Assumptions'!M13*40%</x:f>
        <x:v>4200</x:v>
      </x:c>
      <x:c r="D13" s="20" t="n">
        <x:f>'Assumptions'!M13*40%</x:f>
        <x:v>4200</x:v>
      </x:c>
      <x:c r="E13" s="20" t="n">
        <x:f>'Assumptions'!M13*20%</x:f>
        <x:v>2100</x:v>
      </x:c>
      <x:c r="F13" s="20" t="n">
        <x:v>0</x:v>
      </x:c>
      <x:c r="G13" s="20" t="n">
        <x:v>0</x:v>
      </x:c>
      <x:c r="H13" s="20" t="n">
        <x:v>0</x:v>
      </x:c>
      <x:c r="I13" s="20" t="n">
        <x:v>0</x:v>
      </x:c>
      <x:c r="J13" s="20" t="n">
        <x:v>0</x:v>
      </x:c>
      <x:c r="K13" s="20" t="n">
        <x:v>0</x:v>
      </x:c>
      <x:c r="L13" s="20" t="n">
        <x:v>0</x:v>
      </x:c>
      <x:c r="M13" s="20" t="n">
        <x:v>0</x:v>
      </x:c>
      <x:c r="N13" s="20" t="n">
        <x:v>0</x:v>
      </x:c>
    </x:row>
    <x:row r="14">
      <x:c r="A14" t="str">
        <x:v>One-time</x:v>
      </x:c>
      <x:c r="B14" t="str">
        <x:v>Launch messaging, onboarding and help content</x:v>
      </x:c>
      <x:c r="C14" s="20" t="n">
        <x:f>'Assumptions'!M14*40%</x:f>
        <x:v>2940</x:v>
      </x:c>
      <x:c r="D14" s="20" t="n">
        <x:f>'Assumptions'!M14*40%</x:f>
        <x:v>2940</x:v>
      </x:c>
      <x:c r="E14" s="20" t="n">
        <x:f>'Assumptions'!M14*20%</x:f>
        <x:v>1470</x:v>
      </x:c>
      <x:c r="F14" s="20" t="n">
        <x:v>0</x:v>
      </x:c>
      <x:c r="G14" s="20" t="n">
        <x:v>0</x:v>
      </x:c>
      <x:c r="H14" s="20" t="n">
        <x:v>0</x:v>
      </x:c>
      <x:c r="I14" s="20" t="n">
        <x:v>0</x:v>
      </x:c>
      <x:c r="J14" s="20" t="n">
        <x:v>0</x:v>
      </x:c>
      <x:c r="K14" s="20" t="n">
        <x:v>0</x:v>
      </x:c>
      <x:c r="L14" s="20" t="n">
        <x:v>0</x:v>
      </x:c>
      <x:c r="M14" s="20" t="n">
        <x:v>0</x:v>
      </x:c>
      <x:c r="N14" s="20" t="n">
        <x:v>0</x:v>
      </x:c>
    </x:row>
    <x:row r="15">
      <x:c r="A15" t="str">
        <x:v>One-time</x:v>
      </x:c>
      <x:c r="B15" t="str">
        <x:v>Initial outreach, demonstrations and reviewer launch</x:v>
      </x:c>
      <x:c r="C15" s="20" t="n">
        <x:f>'Assumptions'!M15*40%</x:f>
        <x:v>2940</x:v>
      </x:c>
      <x:c r="D15" s="20" t="n">
        <x:f>'Assumptions'!M15*40%</x:f>
        <x:v>2940</x:v>
      </x:c>
      <x:c r="E15" s="20" t="n">
        <x:f>'Assumptions'!M15*20%</x:f>
        <x:v>1470</x:v>
      </x:c>
      <x:c r="F15" s="20" t="n">
        <x:v>0</x:v>
      </x:c>
      <x:c r="G15" s="20" t="n">
        <x:v>0</x:v>
      </x:c>
      <x:c r="H15" s="20" t="n">
        <x:v>0</x:v>
      </x:c>
      <x:c r="I15" s="20" t="n">
        <x:v>0</x:v>
      </x:c>
      <x:c r="J15" s="20" t="n">
        <x:v>0</x:v>
      </x:c>
      <x:c r="K15" s="20" t="n">
        <x:v>0</x:v>
      </x:c>
      <x:c r="L15" s="20" t="n">
        <x:v>0</x:v>
      </x:c>
      <x:c r="M15" s="20" t="n">
        <x:v>0</x:v>
      </x:c>
      <x:c r="N15" s="20" t="n">
        <x:v>0</x:v>
      </x:c>
    </x:row>
    <x:row r="16">
      <x:c r="A16" t="str">
        <x:v>Recurring</x:v>
      </x:c>
      <x:c r="B16" t="str">
        <x:v>Vercel Pro hosting</x:v>
      </x:c>
      <x:c r="C16" s="20" t="n">
        <x:f>'Assumptions'!$M16/12</x:f>
        <x:v>20</x:v>
      </x:c>
      <x:c r="D16" s="20" t="n">
        <x:f>'Assumptions'!$M16/12</x:f>
        <x:v>20</x:v>
      </x:c>
      <x:c r="E16" s="20" t="n">
        <x:f>'Assumptions'!$M16/12</x:f>
        <x:v>20</x:v>
      </x:c>
      <x:c r="F16" s="20" t="n">
        <x:f>'Assumptions'!$M16/12</x:f>
        <x:v>20</x:v>
      </x:c>
      <x:c r="G16" s="20" t="n">
        <x:f>'Assumptions'!$M16/12</x:f>
        <x:v>20</x:v>
      </x:c>
      <x:c r="H16" s="20" t="n">
        <x:f>'Assumptions'!$M16/12</x:f>
        <x:v>20</x:v>
      </x:c>
      <x:c r="I16" s="20" t="n">
        <x:f>'Assumptions'!$M16/12</x:f>
        <x:v>20</x:v>
      </x:c>
      <x:c r="J16" s="20" t="n">
        <x:f>'Assumptions'!$M16/12</x:f>
        <x:v>20</x:v>
      </x:c>
      <x:c r="K16" s="20" t="n">
        <x:f>'Assumptions'!$M16/12</x:f>
        <x:v>20</x:v>
      </x:c>
      <x:c r="L16" s="20" t="n">
        <x:f>'Assumptions'!$M16/12</x:f>
        <x:v>20</x:v>
      </x:c>
      <x:c r="M16" s="20" t="n">
        <x:f>'Assumptions'!$M16/12</x:f>
        <x:v>20</x:v>
      </x:c>
      <x:c r="N16" s="20" t="n">
        <x:f>'Assumptions'!$M16/12</x:f>
        <x:v>20</x:v>
      </x:c>
    </x:row>
    <x:row r="17">
      <x:c r="A17" t="str">
        <x:v>Recurring</x:v>
      </x:c>
      <x:c r="B17" t="str">
        <x:v>Supabase Pro database/auth/storage</x:v>
      </x:c>
      <x:c r="C17" s="20" t="n">
        <x:f>'Assumptions'!$M17/12</x:f>
        <x:v>25</x:v>
      </x:c>
      <x:c r="D17" s="20" t="n">
        <x:f>'Assumptions'!$M17/12</x:f>
        <x:v>25</x:v>
      </x:c>
      <x:c r="E17" s="20" t="n">
        <x:f>'Assumptions'!$M17/12</x:f>
        <x:v>25</x:v>
      </x:c>
      <x:c r="F17" s="20" t="n">
        <x:f>'Assumptions'!$M17/12</x:f>
        <x:v>25</x:v>
      </x:c>
      <x:c r="G17" s="20" t="n">
        <x:f>'Assumptions'!$M17/12</x:f>
        <x:v>25</x:v>
      </x:c>
      <x:c r="H17" s="20" t="n">
        <x:f>'Assumptions'!$M17/12</x:f>
        <x:v>25</x:v>
      </x:c>
      <x:c r="I17" s="20" t="n">
        <x:f>'Assumptions'!$M17/12</x:f>
        <x:v>25</x:v>
      </x:c>
      <x:c r="J17" s="20" t="n">
        <x:f>'Assumptions'!$M17/12</x:f>
        <x:v>25</x:v>
      </x:c>
      <x:c r="K17" s="20" t="n">
        <x:f>'Assumptions'!$M17/12</x:f>
        <x:v>25</x:v>
      </x:c>
      <x:c r="L17" s="20" t="n">
        <x:f>'Assumptions'!$M17/12</x:f>
        <x:v>25</x:v>
      </x:c>
      <x:c r="M17" s="20" t="n">
        <x:f>'Assumptions'!$M17/12</x:f>
        <x:v>25</x:v>
      </x:c>
      <x:c r="N17" s="20" t="n">
        <x:f>'Assumptions'!$M17/12</x:f>
        <x:v>25</x:v>
      </x:c>
    </x:row>
    <x:row r="18">
      <x:c r="A18" t="str">
        <x:v>Recurring</x:v>
      </x:c>
      <x:c r="B18" t="str">
        <x:v>Resend transactional email</x:v>
      </x:c>
      <x:c r="C18" s="20" t="n">
        <x:f>'Assumptions'!$M18/12</x:f>
        <x:v>20</x:v>
      </x:c>
      <x:c r="D18" s="20" t="n">
        <x:f>'Assumptions'!$M18/12</x:f>
        <x:v>20</x:v>
      </x:c>
      <x:c r="E18" s="20" t="n">
        <x:f>'Assumptions'!$M18/12</x:f>
        <x:v>20</x:v>
      </x:c>
      <x:c r="F18" s="20" t="n">
        <x:f>'Assumptions'!$M18/12</x:f>
        <x:v>20</x:v>
      </x:c>
      <x:c r="G18" s="20" t="n">
        <x:f>'Assumptions'!$M18/12</x:f>
        <x:v>20</x:v>
      </x:c>
      <x:c r="H18" s="20" t="n">
        <x:f>'Assumptions'!$M18/12</x:f>
        <x:v>20</x:v>
      </x:c>
      <x:c r="I18" s="20" t="n">
        <x:f>'Assumptions'!$M18/12</x:f>
        <x:v>20</x:v>
      </x:c>
      <x:c r="J18" s="20" t="n">
        <x:f>'Assumptions'!$M18/12</x:f>
        <x:v>20</x:v>
      </x:c>
      <x:c r="K18" s="20" t="n">
        <x:f>'Assumptions'!$M18/12</x:f>
        <x:v>20</x:v>
      </x:c>
      <x:c r="L18" s="20" t="n">
        <x:f>'Assumptions'!$M18/12</x:f>
        <x:v>20</x:v>
      </x:c>
      <x:c r="M18" s="20" t="n">
        <x:f>'Assumptions'!$M18/12</x:f>
        <x:v>20</x:v>
      </x:c>
      <x:c r="N18" s="20" t="n">
        <x:f>'Assumptions'!$M18/12</x:f>
        <x:v>20</x:v>
      </x:c>
    </x:row>
    <x:row r="19">
      <x:c r="A19" t="str">
        <x:v>Recurring</x:v>
      </x:c>
      <x:c r="B19" t="str">
        <x:v>Monitoring and error tracking</x:v>
      </x:c>
      <x:c r="C19" s="20" t="n">
        <x:f>'Assumptions'!$M19/12</x:f>
        <x:v>50</x:v>
      </x:c>
      <x:c r="D19" s="20" t="n">
        <x:f>'Assumptions'!$M19/12</x:f>
        <x:v>50</x:v>
      </x:c>
      <x:c r="E19" s="20" t="n">
        <x:f>'Assumptions'!$M19/12</x:f>
        <x:v>50</x:v>
      </x:c>
      <x:c r="F19" s="20" t="n">
        <x:f>'Assumptions'!$M19/12</x:f>
        <x:v>50</x:v>
      </x:c>
      <x:c r="G19" s="20" t="n">
        <x:f>'Assumptions'!$M19/12</x:f>
        <x:v>50</x:v>
      </x:c>
      <x:c r="H19" s="20" t="n">
        <x:f>'Assumptions'!$M19/12</x:f>
        <x:v>50</x:v>
      </x:c>
      <x:c r="I19" s="20" t="n">
        <x:f>'Assumptions'!$M19/12</x:f>
        <x:v>50</x:v>
      </x:c>
      <x:c r="J19" s="20" t="n">
        <x:f>'Assumptions'!$M19/12</x:f>
        <x:v>50</x:v>
      </x:c>
      <x:c r="K19" s="20" t="n">
        <x:f>'Assumptions'!$M19/12</x:f>
        <x:v>50</x:v>
      </x:c>
      <x:c r="L19" s="20" t="n">
        <x:f>'Assumptions'!$M19/12</x:f>
        <x:v>50</x:v>
      </x:c>
      <x:c r="M19" s="20" t="n">
        <x:f>'Assumptions'!$M19/12</x:f>
        <x:v>50</x:v>
      </x:c>
      <x:c r="N19" s="20" t="n">
        <x:f>'Assumptions'!$M19/12</x:f>
        <x:v>50</x:v>
      </x:c>
    </x:row>
    <x:row r="20">
      <x:c r="A20" t="str">
        <x:v>Recurring</x:v>
      </x:c>
      <x:c r="B20" t="str">
        <x:v>Domain, DNS and certificates</x:v>
      </x:c>
      <x:c r="C20" s="20" t="n">
        <x:f>'Assumptions'!$M20/12</x:f>
        <x:v>12.5</x:v>
      </x:c>
      <x:c r="D20" s="20" t="n">
        <x:f>'Assumptions'!$M20/12</x:f>
        <x:v>12.5</x:v>
      </x:c>
      <x:c r="E20" s="20" t="n">
        <x:f>'Assumptions'!$M20/12</x:f>
        <x:v>12.5</x:v>
      </x:c>
      <x:c r="F20" s="20" t="n">
        <x:f>'Assumptions'!$M20/12</x:f>
        <x:v>12.5</x:v>
      </x:c>
      <x:c r="G20" s="20" t="n">
        <x:f>'Assumptions'!$M20/12</x:f>
        <x:v>12.5</x:v>
      </x:c>
      <x:c r="H20" s="20" t="n">
        <x:f>'Assumptions'!$M20/12</x:f>
        <x:v>12.5</x:v>
      </x:c>
      <x:c r="I20" s="20" t="n">
        <x:f>'Assumptions'!$M20/12</x:f>
        <x:v>12.5</x:v>
      </x:c>
      <x:c r="J20" s="20" t="n">
        <x:f>'Assumptions'!$M20/12</x:f>
        <x:v>12.5</x:v>
      </x:c>
      <x:c r="K20" s="20" t="n">
        <x:f>'Assumptions'!$M20/12</x:f>
        <x:v>12.5</x:v>
      </x:c>
      <x:c r="L20" s="20" t="n">
        <x:f>'Assumptions'!$M20/12</x:f>
        <x:v>12.5</x:v>
      </x:c>
      <x:c r="M20" s="20" t="n">
        <x:f>'Assumptions'!$M20/12</x:f>
        <x:v>12.5</x:v>
      </x:c>
      <x:c r="N20" s="20" t="n">
        <x:f>'Assumptions'!$M20/12</x:f>
        <x:v>12.5</x:v>
      </x:c>
    </x:row>
    <x:row r="21">
      <x:c r="A21" t="str">
        <x:v>Recurring</x:v>
      </x:c>
      <x:c r="B21" t="str">
        <x:v>Security scanning and backup testing</x:v>
      </x:c>
      <x:c r="C21" s="20" t="n">
        <x:f>'Assumptions'!$M21/12</x:f>
        <x:v>125</x:v>
      </x:c>
      <x:c r="D21" s="20" t="n">
        <x:f>'Assumptions'!$M21/12</x:f>
        <x:v>125</x:v>
      </x:c>
      <x:c r="E21" s="20" t="n">
        <x:f>'Assumptions'!$M21/12</x:f>
        <x:v>125</x:v>
      </x:c>
      <x:c r="F21" s="20" t="n">
        <x:f>'Assumptions'!$M21/12</x:f>
        <x:v>125</x:v>
      </x:c>
      <x:c r="G21" s="20" t="n">
        <x:f>'Assumptions'!$M21/12</x:f>
        <x:v>125</x:v>
      </x:c>
      <x:c r="H21" s="20" t="n">
        <x:f>'Assumptions'!$M21/12</x:f>
        <x:v>125</x:v>
      </x:c>
      <x:c r="I21" s="20" t="n">
        <x:f>'Assumptions'!$M21/12</x:f>
        <x:v>125</x:v>
      </x:c>
      <x:c r="J21" s="20" t="n">
        <x:f>'Assumptions'!$M21/12</x:f>
        <x:v>125</x:v>
      </x:c>
      <x:c r="K21" s="20" t="n">
        <x:f>'Assumptions'!$M21/12</x:f>
        <x:v>125</x:v>
      </x:c>
      <x:c r="L21" s="20" t="n">
        <x:f>'Assumptions'!$M21/12</x:f>
        <x:v>125</x:v>
      </x:c>
      <x:c r="M21" s="20" t="n">
        <x:f>'Assumptions'!$M21/12</x:f>
        <x:v>125</x:v>
      </x:c>
      <x:c r="N21" s="20" t="n">
        <x:f>'Assumptions'!$M21/12</x:f>
        <x:v>125</x:v>
      </x:c>
    </x:row>
    <x:row r="22">
      <x:c r="A22" t="str">
        <x:v>Recurring</x:v>
      </x:c>
      <x:c r="B22" t="str">
        <x:v>Technical maintenance and incident support</x:v>
      </x:c>
      <x:c r="C22" s="20" t="n">
        <x:f>'Assumptions'!$M22/12</x:f>
        <x:v>1680</x:v>
      </x:c>
      <x:c r="D22" s="20" t="n">
        <x:f>'Assumptions'!$M22/12</x:f>
        <x:v>1680</x:v>
      </x:c>
      <x:c r="E22" s="20" t="n">
        <x:f>'Assumptions'!$M22/12</x:f>
        <x:v>1680</x:v>
      </x:c>
      <x:c r="F22" s="20" t="n">
        <x:f>'Assumptions'!$M22/12</x:f>
        <x:v>1680</x:v>
      </x:c>
      <x:c r="G22" s="20" t="n">
        <x:f>'Assumptions'!$M22/12</x:f>
        <x:v>1680</x:v>
      </x:c>
      <x:c r="H22" s="20" t="n">
        <x:f>'Assumptions'!$M22/12</x:f>
        <x:v>1680</x:v>
      </x:c>
      <x:c r="I22" s="20" t="n">
        <x:f>'Assumptions'!$M22/12</x:f>
        <x:v>1680</x:v>
      </x:c>
      <x:c r="J22" s="20" t="n">
        <x:f>'Assumptions'!$M22/12</x:f>
        <x:v>1680</x:v>
      </x:c>
      <x:c r="K22" s="20" t="n">
        <x:f>'Assumptions'!$M22/12</x:f>
        <x:v>1680</x:v>
      </x:c>
      <x:c r="L22" s="20" t="n">
        <x:f>'Assumptions'!$M22/12</x:f>
        <x:v>1680</x:v>
      </x:c>
      <x:c r="M22" s="20" t="n">
        <x:f>'Assumptions'!$M22/12</x:f>
        <x:v>1680</x:v>
      </x:c>
      <x:c r="N22" s="20" t="n">
        <x:f>'Assumptions'!$M22/12</x:f>
        <x:v>1680</x:v>
      </x:c>
    </x:row>
    <x:row r="23">
      <x:c r="A23" t="str">
        <x:v>Recurring</x:v>
      </x:c>
      <x:c r="B23" t="str">
        <x:v>Evidence, content and learning updates</x:v>
      </x:c>
      <x:c r="C23" s="20" t="n">
        <x:f>'Assumptions'!$M23/12</x:f>
        <x:v>2100</x:v>
      </x:c>
      <x:c r="D23" s="20" t="n">
        <x:f>'Assumptions'!$M23/12</x:f>
        <x:v>2100</x:v>
      </x:c>
      <x:c r="E23" s="20" t="n">
        <x:f>'Assumptions'!$M23/12</x:f>
        <x:v>2100</x:v>
      </x:c>
      <x:c r="F23" s="20" t="n">
        <x:f>'Assumptions'!$M23/12</x:f>
        <x:v>2100</x:v>
      </x:c>
      <x:c r="G23" s="20" t="n">
        <x:f>'Assumptions'!$M23/12</x:f>
        <x:v>2100</x:v>
      </x:c>
      <x:c r="H23" s="20" t="n">
        <x:f>'Assumptions'!$M23/12</x:f>
        <x:v>2100</x:v>
      </x:c>
      <x:c r="I23" s="20" t="n">
        <x:f>'Assumptions'!$M23/12</x:f>
        <x:v>2100</x:v>
      </x:c>
      <x:c r="J23" s="20" t="n">
        <x:f>'Assumptions'!$M23/12</x:f>
        <x:v>2100</x:v>
      </x:c>
      <x:c r="K23" s="20" t="n">
        <x:f>'Assumptions'!$M23/12</x:f>
        <x:v>2100</x:v>
      </x:c>
      <x:c r="L23" s="20" t="n">
        <x:f>'Assumptions'!$M23/12</x:f>
        <x:v>2100</x:v>
      </x:c>
      <x:c r="M23" s="20" t="n">
        <x:f>'Assumptions'!$M23/12</x:f>
        <x:v>2100</x:v>
      </x:c>
      <x:c r="N23" s="20" t="n">
        <x:f>'Assumptions'!$M23/12</x:f>
        <x:v>2100</x:v>
      </x:c>
    </x:row>
    <x:row r="24">
      <x:c r="A24" t="str">
        <x:v>Recurring</x:v>
      </x:c>
      <x:c r="B24" t="str">
        <x:v>Member and reviewer support</x:v>
      </x:c>
      <x:c r="C24" s="20" t="n">
        <x:f>'Assumptions'!$M24/12</x:f>
        <x:v>750</x:v>
      </x:c>
      <x:c r="D24" s="20" t="n">
        <x:f>'Assumptions'!$M24/12</x:f>
        <x:v>750</x:v>
      </x:c>
      <x:c r="E24" s="20" t="n">
        <x:f>'Assumptions'!$M24/12</x:f>
        <x:v>750</x:v>
      </x:c>
      <x:c r="F24" s="20" t="n">
        <x:f>'Assumptions'!$M24/12</x:f>
        <x:v>750</x:v>
      </x:c>
      <x:c r="G24" s="20" t="n">
        <x:f>'Assumptions'!$M24/12</x:f>
        <x:v>750</x:v>
      </x:c>
      <x:c r="H24" s="20" t="n">
        <x:f>'Assumptions'!$M24/12</x:f>
        <x:v>750</x:v>
      </x:c>
      <x:c r="I24" s="20" t="n">
        <x:f>'Assumptions'!$M24/12</x:f>
        <x:v>750</x:v>
      </x:c>
      <x:c r="J24" s="20" t="n">
        <x:f>'Assumptions'!$M24/12</x:f>
        <x:v>750</x:v>
      </x:c>
      <x:c r="K24" s="20" t="n">
        <x:f>'Assumptions'!$M24/12</x:f>
        <x:v>750</x:v>
      </x:c>
      <x:c r="L24" s="20" t="n">
        <x:f>'Assumptions'!$M24/12</x:f>
        <x:v>750</x:v>
      </x:c>
      <x:c r="M24" s="20" t="n">
        <x:f>'Assumptions'!$M24/12</x:f>
        <x:v>750</x:v>
      </x:c>
      <x:c r="N24" s="20" t="n">
        <x:f>'Assumptions'!$M24/12</x:f>
        <x:v>750</x:v>
      </x:c>
    </x:row>
    <x:row r="25">
      <x:c r="A25" t="str">
        <x:v>Recurring</x:v>
      </x:c>
      <x:c r="B25" t="str">
        <x:v>Outreach, demonstrations and partnerships</x:v>
      </x:c>
      <x:c r="C25" s="20" t="n">
        <x:f>'Assumptions'!$M25/12</x:f>
        <x:v>1050</x:v>
      </x:c>
      <x:c r="D25" s="20" t="n">
        <x:f>'Assumptions'!$M25/12</x:f>
        <x:v>1050</x:v>
      </x:c>
      <x:c r="E25" s="20" t="n">
        <x:f>'Assumptions'!$M25/12</x:f>
        <x:v>1050</x:v>
      </x:c>
      <x:c r="F25" s="20" t="n">
        <x:f>'Assumptions'!$M25/12</x:f>
        <x:v>1050</x:v>
      </x:c>
      <x:c r="G25" s="20" t="n">
        <x:f>'Assumptions'!$M25/12</x:f>
        <x:v>1050</x:v>
      </x:c>
      <x:c r="H25" s="20" t="n">
        <x:f>'Assumptions'!$M25/12</x:f>
        <x:v>1050</x:v>
      </x:c>
      <x:c r="I25" s="20" t="n">
        <x:f>'Assumptions'!$M25/12</x:f>
        <x:v>1050</x:v>
      </x:c>
      <x:c r="J25" s="20" t="n">
        <x:f>'Assumptions'!$M25/12</x:f>
        <x:v>1050</x:v>
      </x:c>
      <x:c r="K25" s="20" t="n">
        <x:f>'Assumptions'!$M25/12</x:f>
        <x:v>1050</x:v>
      </x:c>
      <x:c r="L25" s="20" t="n">
        <x:f>'Assumptions'!$M25/12</x:f>
        <x:v>1050</x:v>
      </x:c>
      <x:c r="M25" s="20" t="n">
        <x:f>'Assumptions'!$M25/12</x:f>
        <x:v>1050</x:v>
      </x:c>
      <x:c r="N25" s="20" t="n">
        <x:f>'Assumptions'!$M25/12</x:f>
        <x:v>1050</x:v>
      </x:c>
    </x:row>
    <x:row r="26">
      <x:c r="A26" t="str">
        <x:v>Recurring</x:v>
      </x:c>
      <x:c r="B26" t="str">
        <x:v>Annual privacy/legal review and insurance allowance</x:v>
      </x:c>
      <x:c r="C26" s="20" t="n">
        <x:f>'Assumptions'!$M26/12</x:f>
        <x:v>500</x:v>
      </x:c>
      <x:c r="D26" s="20" t="n">
        <x:f>'Assumptions'!$M26/12</x:f>
        <x:v>500</x:v>
      </x:c>
      <x:c r="E26" s="20" t="n">
        <x:f>'Assumptions'!$M26/12</x:f>
        <x:v>500</x:v>
      </x:c>
      <x:c r="F26" s="20" t="n">
        <x:f>'Assumptions'!$M26/12</x:f>
        <x:v>500</x:v>
      </x:c>
      <x:c r="G26" s="20" t="n">
        <x:f>'Assumptions'!$M26/12</x:f>
        <x:v>500</x:v>
      </x:c>
      <x:c r="H26" s="20" t="n">
        <x:f>'Assumptions'!$M26/12</x:f>
        <x:v>500</x:v>
      </x:c>
      <x:c r="I26" s="20" t="n">
        <x:f>'Assumptions'!$M26/12</x:f>
        <x:v>500</x:v>
      </x:c>
      <x:c r="J26" s="20" t="n">
        <x:f>'Assumptions'!$M26/12</x:f>
        <x:v>500</x:v>
      </x:c>
      <x:c r="K26" s="20" t="n">
        <x:f>'Assumptions'!$M26/12</x:f>
        <x:v>500</x:v>
      </x:c>
      <x:c r="L26" s="20" t="n">
        <x:f>'Assumptions'!$M26/12</x:f>
        <x:v>500</x:v>
      </x:c>
      <x:c r="M26" s="20" t="n">
        <x:f>'Assumptions'!$M26/12</x:f>
        <x:v>500</x:v>
      </x:c>
      <x:c r="N26" s="20" t="n">
        <x:f>'Assumptions'!$M26/12</x:f>
        <x:v>500</x:v>
      </x:c>
    </x:row>
    <x:row r="27">
      <x:c r="A27" s="70" t="str">
        <x:v>Monthly subtotal</x:v>
      </x:c>
      <x:c r="B27" s="70"/>
      <x:c r="C27" s="71" t="n">
        <x:f>SUM(C5:C26)</x:f>
        <x:v>82212.5</x:v>
      </x:c>
      <x:c r="D27" s="71" t="n">
        <x:f>SUM(D5:D26)</x:f>
        <x:v>82212.5</x:v>
      </x:c>
      <x:c r="E27" s="71" t="n">
        <x:f>SUM(E5:E26)</x:f>
        <x:v>44272.5</x:v>
      </x:c>
      <x:c r="F27" s="71" t="n">
        <x:f>SUM(F5:F26)</x:f>
        <x:v>6332.5</x:v>
      </x:c>
      <x:c r="G27" s="71" t="n">
        <x:f>SUM(G5:G26)</x:f>
        <x:v>6332.5</x:v>
      </x:c>
      <x:c r="H27" s="71" t="n">
        <x:f>SUM(H5:H26)</x:f>
        <x:v>6332.5</x:v>
      </x:c>
      <x:c r="I27" s="71" t="n">
        <x:f>SUM(I5:I26)</x:f>
        <x:v>6332.5</x:v>
      </x:c>
      <x:c r="J27" s="71" t="n">
        <x:f>SUM(J5:J26)</x:f>
        <x:v>6332.5</x:v>
      </x:c>
      <x:c r="K27" s="71" t="n">
        <x:f>SUM(K5:K26)</x:f>
        <x:v>6332.5</x:v>
      </x:c>
      <x:c r="L27" s="71" t="n">
        <x:f>SUM(L5:L26)</x:f>
        <x:v>6332.5</x:v>
      </x:c>
      <x:c r="M27" s="71" t="n">
        <x:f>SUM(M5:M26)</x:f>
        <x:v>6332.5</x:v>
      </x:c>
      <x:c r="N27" s="71" t="n">
        <x:f>SUM(N5:N26)</x:f>
        <x:v>6332.5</x:v>
      </x:c>
    </x:row>
  </x:sheetData>
  <x:mergeCells>
    <x:mergeCell ref="A1:H1"/>
    <x:mergeCell ref="A2:H2"/>
    <x:mergeCell ref="A27:B27"/>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14" hidden="0" customWidth="1"/>
    <x:col min="3" max="3" width="22" hidden="0" customWidth="1"/>
    <x:col min="4" max="4" width="20" hidden="0" customWidth="1"/>
    <x:col min="5" max="5" width="48" hidden="0" customWidth="1"/>
    <x:col min="6" max="6" width="52" hidden="0" customWidth="1"/>
  </x:cols>
  <x:sheetData>
    <x:row r="1" ht="34" customHeight="1">
      <x:c r="A1" s="3" t="str">
        <x:v>Sources and Pricing References</x:v>
      </x:c>
      <x:c r="B1" s="3"/>
      <x:c r="C1" s="3"/>
      <x:c r="D1" s="3"/>
      <x:c r="E1" s="3"/>
      <x:c r="F1" s="3"/>
      <x:c r="G1" s="3"/>
      <x:c r="H1" s="3"/>
    </x:row>
    <x:row r="2" ht="30" customHeight="1">
      <x:c r="A2" s="7" t="str">
        <x:v>Vendor prices are current planning inputs as of 2026-08-21; usage, taxes and negotiated terms may change actual costs.</x:v>
      </x:c>
      <x:c r="B2" s="7"/>
      <x:c r="C2" s="7"/>
      <x:c r="D2" s="7"/>
      <x:c r="E2" s="7"/>
      <x:c r="F2" s="7"/>
      <x:c r="G2" s="7"/>
      <x:c r="H2" s="7"/>
    </x:row>
    <x:row r="4">
      <x:c r="A4" s="18" t="str">
        <x:v>Input</x:v>
      </x:c>
      <x:c r="B4" s="62" t="str">
        <x:v>Value</x:v>
      </x:c>
      <x:c r="C4" s="62" t="str">
        <x:v>Unit</x:v>
      </x:c>
      <x:c r="D4" s="62" t="str">
        <x:v>Source</x:v>
      </x:c>
      <x:c r="E4" s="62" t="str">
        <x:v>URL</x:v>
      </x:c>
      <x:c r="F4" s="19" t="str">
        <x:v>Planning treatment</x:v>
      </x:c>
    </x:row>
    <x:row r="5">
      <x:c r="A5" s="64" t="str">
        <x:v>Vercel Pro</x:v>
      </x:c>
      <x:c r="B5" s="67" t="n">
        <x:v>20</x:v>
      </x:c>
      <x:c r="C5" s="64" t="str">
        <x:v>per developer seat/month</x:v>
      </x:c>
      <x:c r="D5" s="64" t="str">
        <x:v>Vercel</x:v>
      </x:c>
      <x:c r="E5" s="64" t="str">
        <x:v>https://vercel.com/docs/plans/pro-plan</x:v>
      </x:c>
      <x:c r="F5" s="64" t="str">
        <x:v>Base assumes one paid owner/developer seat; usage allowance added only in Growth.</x:v>
      </x:c>
    </x:row>
    <x:row r="6">
      <x:c r="A6" s="64" t="str">
        <x:v>Supabase Pro</x:v>
      </x:c>
      <x:c r="B6" s="67" t="n">
        <x:v>25</x:v>
      </x:c>
      <x:c r="C6" s="64" t="str">
        <x:v>per month, first project</x:v>
      </x:c>
      <x:c r="D6" s="64" t="str">
        <x:v>Supabase pricing</x:v>
      </x:c>
      <x:c r="E6" s="64" t="str">
        <x:v>https://supabase.com/pricing</x:v>
      </x:c>
      <x:c r="F6" s="64" t="str">
        <x:v>Base assumes one production project; monitor usage and additional environments.</x:v>
      </x:c>
    </x:row>
    <x:row r="7">
      <x:c r="A7" s="64" t="str">
        <x:v>Resend Free</x:v>
      </x:c>
      <x:c r="B7" s="67" t="n">
        <x:v>0</x:v>
      </x:c>
      <x:c r="C7" s="64" t="str">
        <x:v>3,000 emails/month</x:v>
      </x:c>
      <x:c r="D7" s="64" t="str">
        <x:v>Resend pricing</x:v>
      </x:c>
      <x:c r="E7" s="64" t="str">
        <x:v>https://resend.com/docs/knowledge-base/what-is-resend-pricing</x:v>
      </x:c>
      <x:c r="F7" s="64" t="str">
        <x:v>Lean only; 100-email daily limit can constrain account messages.</x:v>
      </x:c>
    </x:row>
    <x:row r="8">
      <x:c r="A8" s="64" t="str">
        <x:v>Resend Pro 50K</x:v>
      </x:c>
      <x:c r="B8" s="67" t="n">
        <x:v>20</x:v>
      </x:c>
      <x:c r="C8" s="64" t="str">
        <x:v>per month</x:v>
      </x:c>
      <x:c r="D8" s="64" t="str">
        <x:v>Resend pricing</x:v>
      </x:c>
      <x:c r="E8" s="64" t="str">
        <x:v>https://resend.com/docs/knowledge-base/what-is-resend-pricing</x:v>
      </x:c>
      <x:c r="F8" s="64" t="str">
        <x:v>Base transactional-email assumption.</x:v>
      </x:c>
    </x:row>
    <x:row r="9">
      <x:c r="A9" s="64" t="str">
        <x:v>Resend Pro 100K</x:v>
      </x:c>
      <x:c r="B9" s="67" t="n">
        <x:v>35</x:v>
      </x:c>
      <x:c r="C9" s="64" t="str">
        <x:v>per month</x:v>
      </x:c>
      <x:c r="D9" s="64" t="str">
        <x:v>Resend pricing</x:v>
      </x:c>
      <x:c r="E9" s="64" t="str">
        <x:v>https://resend.com/docs/knowledge-base/what-is-resend-pricing</x:v>
      </x:c>
      <x:c r="F9" s="64" t="str">
        <x:v>Growth transactional-email assumption.</x:v>
      </x:c>
    </x:row>
    <x:row r="10">
      <x:c r="A10" s="64" t="str">
        <x:v>Stripe domestic cards</x:v>
      </x:c>
      <x:c r="B10" s="73" t="n">
        <x:v>0.029</x:v>
      </x:c>
      <x:c r="C10" s="64" t="str">
        <x:v>plus $0.30/transaction</x:v>
      </x:c>
      <x:c r="D10" s="64" t="str">
        <x:v>Stripe pricing</x:v>
      </x:c>
      <x:c r="E10" s="64" t="str">
        <x:v>https://stripe.com/pricing</x:v>
      </x:c>
      <x:c r="F10" s="64" t="str">
        <x:v>Excluded from fixed budget; subtract from revenue if paid access is launched.</x:v>
      </x:c>
    </x:row>
  </x:sheetData>
  <x:mergeCells>
    <x:mergeCell ref="A1:H1"/>
    <x:mergeCell ref="A2: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8" hidden="0" customWidth="1"/>
    <x:col min="2" max="2" width="14" hidden="0" customWidth="1"/>
    <x:col min="3" max="3" width="16" hidden="0" customWidth="1"/>
    <x:col min="4" max="4" width="30" hidden="0" customWidth="1"/>
  </x:cols>
  <x:sheetData>
    <x:row r="1" ht="34" customHeight="1">
      <x:c r="A1" s="3" t="str">
        <x:v>Model Checks</x:v>
      </x:c>
      <x:c r="B1" s="3"/>
      <x:c r="C1" s="3"/>
      <x:c r="D1" s="3"/>
      <x:c r="E1" s="3"/>
      <x:c r="F1" s="3"/>
      <x:c r="G1" s="3"/>
      <x:c r="H1" s="3"/>
    </x:row>
    <x:row r="2" ht="30" customHeight="1">
      <x:c r="A2" s="7" t="str">
        <x:v>PASS means formulas and scenario totals reconcile; it does not validate vendor quotes or staffing estimates.</x:v>
      </x:c>
      <x:c r="B2" s="7"/>
      <x:c r="C2" s="7"/>
      <x:c r="D2" s="7"/>
      <x:c r="E2" s="7"/>
      <x:c r="F2" s="7"/>
      <x:c r="G2" s="7"/>
      <x:c r="H2" s="7"/>
    </x:row>
    <x:row r="4">
      <x:c r="A4" s="18" t="str">
        <x:v>Check</x:v>
      </x:c>
      <x:c r="B4" s="62" t="str">
        <x:v>Status</x:v>
      </x:c>
      <x:c r="C4" s="62" t="str">
        <x:v>Delta</x:v>
      </x:c>
      <x:c r="D4" s="19" t="str">
        <x:v>Where to fix</x:v>
      </x:c>
    </x:row>
    <x:row r="5">
      <x:c r="A5" t="str">
        <x:v>Base category mix equals subtotal</x:v>
      </x:c>
      <x:c r="B5" t="str">
        <x:f>IF(ABS(C5)&lt;1,"PASS","FAIL")</x:f>
        <x:v>PASS</x:v>
      </x:c>
      <x:c r="C5" s="20" t="n">
        <x:f>SUM('Scenarios'!C12:C17)-'Scenarios'!C7</x:f>
        <x:v>0</x:v>
      </x:c>
      <x:c r="D5" t="str">
        <x:v>Assumptions / Scenarios</x:v>
      </x:c>
    </x:row>
    <x:row r="6">
      <x:c r="A6" t="str">
        <x:v>Base cash flow equals subtotal</x:v>
      </x:c>
      <x:c r="B6" t="str">
        <x:f>IF(ABS(C6)&lt;1,"PASS","FAIL")</x:f>
        <x:v>PASS</x:v>
      </x:c>
      <x:c r="C6" s="20" t="n">
        <x:f>SUM('Monthly Cash Flow'!C27:N27)-'Scenarios'!C7</x:f>
        <x:v>0</x:v>
      </x:c>
      <x:c r="D6" t="str">
        <x:v>Monthly Cash Flow</x:v>
      </x:c>
    </x:row>
    <x:row r="7">
      <x:c r="A7" t="str">
        <x:v>Selected scenario is valid</x:v>
      </x:c>
      <x:c r="B7" t="str">
        <x:f>IF(ABS(C7)&lt;1,"PASS","FAIL")</x:f>
        <x:v>PASS</x:v>
      </x:c>
      <x:c r="C7" s="20" t="n">
        <x:f>IF(OR('Summary'!B4="Lean",'Summary'!B4="Base",'Summary'!B4="Growth"),0,1)</x:f>
        <x:v>0</x:v>
      </x:c>
      <x:c r="D7" t="str">
        <x:v>Summary!B4</x:v>
      </x:c>
    </x:row>
    <x:row r="8">
      <x:c r="A8" t="str">
        <x:v>All required scenario totals are positive</x:v>
      </x:c>
      <x:c r="B8" t="str">
        <x:f>IF(ABS(C8)&lt;1,"PASS","FAIL")</x:f>
        <x:v>PASS</x:v>
      </x:c>
      <x:c r="C8" s="20" t="n">
        <x:f>IF(MIN('Scenarios'!B9:D9)&gt;0,0,1)</x:f>
        <x:v>0</x:v>
      </x:c>
      <x:c r="D8" t="str">
        <x:v>Assumptions</x:v>
      </x:c>
    </x:row>
    <x:row r="10">
      <x:c r="A10" s="75" t="str">
        <x:v>MODEL STATUS</x:v>
      </x:c>
      <x:c r="B10" s="76" t="str">
        <x:f>IF(COUNTIF(B5:B8,"FAIL")=0,"PASS","FAIL")</x:f>
        <x:v>PASS</x:v>
      </x:c>
    </x:row>
  </x:sheetData>
  <x:mergeCells>
    <x:mergeCell ref="A1:H1"/>
    <x:mergeCell ref="A2:H2"/>
  </x:mergeCells>
  <x:pageMargins left="0.7" right="0.7" top="0.75" bottom="0.75" header="0.3" footer="0.3"/>
</x:worksheet>
</file>